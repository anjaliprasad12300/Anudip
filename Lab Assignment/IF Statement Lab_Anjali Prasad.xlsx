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\Desktop\"/>
    </mc:Choice>
  </mc:AlternateContent>
  <xr:revisionPtr revIDLastSave="0" documentId="13_ncr:1_{CE401D26-509A-46ED-A920-E4F7688C5BCE}" xr6:coauthVersionLast="47" xr6:coauthVersionMax="47" xr10:uidLastSave="{00000000-0000-0000-0000-000000000000}"/>
  <bookViews>
    <workbookView xWindow="-110" yWindow="-110" windowWidth="19420" windowHeight="10300" xr2:uid="{C7170BE0-6426-442D-B242-F20938B05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5" i="1" l="1"/>
  <c r="M36" i="1"/>
  <c r="M37" i="1"/>
  <c r="M38" i="1"/>
  <c r="M39" i="1"/>
  <c r="M34" i="1"/>
  <c r="M25" i="1"/>
  <c r="M26" i="1"/>
  <c r="M27" i="1"/>
  <c r="M28" i="1"/>
  <c r="M29" i="1"/>
  <c r="M24" i="1"/>
  <c r="M17" i="1" a="1"/>
  <c r="M17" i="1" s="1"/>
  <c r="M16" i="1" a="1"/>
  <c r="M16" i="1" s="1"/>
  <c r="M15" i="1" a="1"/>
  <c r="M15" i="1" s="1"/>
  <c r="M18" i="1" a="1"/>
  <c r="M18" i="1" s="1"/>
  <c r="M19" i="1" a="1"/>
  <c r="M19" i="1" s="1"/>
  <c r="M14" i="1" a="1"/>
  <c r="M14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3" i="1" a="1"/>
  <c r="M3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0" i="1" a="1"/>
  <c r="H30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2" i="1" a="1"/>
  <c r="H22" i="1" s="1"/>
  <c r="G13" i="1"/>
  <c r="G14" i="1"/>
  <c r="G15" i="1"/>
  <c r="G16" i="1"/>
  <c r="G17" i="1"/>
  <c r="G12" i="1"/>
  <c r="H3" i="1" a="1"/>
  <c r="H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<sst xmlns="http://schemas.openxmlformats.org/spreadsheetml/2006/main" count="25" uniqueCount="23">
  <si>
    <t>ProductID</t>
  </si>
  <si>
    <t>Product</t>
  </si>
  <si>
    <t>Sales</t>
  </si>
  <si>
    <t>Target</t>
  </si>
  <si>
    <t>Region</t>
  </si>
  <si>
    <t>North</t>
  </si>
  <si>
    <t>Product A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</si>
  <si>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</si>
  <si>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</si>
  <si>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</si>
  <si>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</si>
  <si>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</si>
  <si>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</si>
  <si>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</si>
  <si>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</si>
  <si>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1. Use the IF function to evaluate whether each product met its sales
target.</t>
  </si>
  <si>
    <t>2.Use the IF function to determine if a product is eligible for a regional
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</si>
  <si>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</si>
  <si>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 Use the IF function to calculate a bonus amount. If sales met or exceeded the target, the bonus is 10% of the sales; otherwise, it's 5%.</t>
  </si>
  <si>
    <t>5. Use the IF function to categorize sales performance as "Excellent" (&gt;=200), "Good" (&gt;=150), or "Needs Improvement" (&lt;150).</t>
  </si>
  <si>
    <t>6. 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</si>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</sst>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3" borderId="1" xfId="0" applyFont="1" applyFill="1" applyBorder="1"/>
    <xf numFmtId="0" fontId="0" fillId="2" borderId="1" xfId="0" applyFill="1" applyBorder="1"/>
    <xf numFmtId="0" fontId="0" fillId="0" borderId="0" xfId="0" applyAlignment="1">
      <alignment vertical="center"/>
    </xf>
    <xf numFmtId="0" fontId="0" fillId="4" borderId="1" xfId="0" applyFill="1" applyBorder="1"/>
    <xf numFmtId="0" fontId="0" fillId="5" borderId="1" xfId="0" applyFill="1" applyBorder="1"/>
    <xf numFmtId="164" fontId="0" fillId="6" borderId="1" xfId="1" applyNumberFormat="1" applyFont="1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FFD7-4BBF-4F18-B319-7C6FD18B0050}">
  <dimension ref="A1:W39"/>
  <sheetViews>
    <sheetView tabSelected="1" topLeftCell="E28" zoomScale="92" workbookViewId="0">
      <selection activeCell="D12" sqref="D12"/>
    </sheetView>
  </sheetViews>
  <sheetFormatPr defaultRowHeight="14.5" x14ac:dyDescent="0.35"/>
  <cols>
    <col min="1" max="1" width="15.08984375" customWidth="1"/>
    <col min="2" max="2" width="13.6328125" customWidth="1"/>
    <col min="3" max="3" width="10.36328125" customWidth="1"/>
    <col min="4" max="4" width="11.1796875" customWidth="1"/>
    <col min="5" max="5" width="10.81640625" customWidth="1"/>
    <col min="7" max="7" width="20" customWidth="1"/>
    <col min="9" max="9" width="36.81640625" customWidth="1"/>
    <col min="10" max="10" width="15.26953125" customWidth="1"/>
    <col min="13" max="13" width="18" bestFit="1" customWidth="1"/>
    <col min="21" max="22" width="8.90625" customWidth="1"/>
    <col min="24" max="24" width="20.90625" bestFit="1" customWidth="1"/>
    <col min="26" max="26" width="20.90625" bestFit="1" customWidth="1"/>
  </cols>
  <sheetData>
    <row r="1" spans="1:19" ht="25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0" t="s">
        <v>15</v>
      </c>
      <c r="H1" s="10"/>
      <c r="I1" s="10"/>
      <c r="L1" s="10" t="s">
        <v>19</v>
      </c>
      <c r="M1" s="10"/>
      <c r="N1" s="10"/>
      <c r="O1" s="10"/>
      <c r="P1" s="10"/>
      <c r="Q1" s="10"/>
    </row>
    <row r="2" spans="1:19" ht="19.5" customHeight="1" x14ac:dyDescent="0.35">
      <c r="A2" s="2">
        <v>101</v>
      </c>
      <c r="B2" s="2" t="s">
        <v>6</v>
      </c>
      <c r="C2" s="2">
        <v>120</v>
      </c>
      <c r="D2" s="2">
        <v>150</v>
      </c>
      <c r="E2" s="2" t="s">
        <v>5</v>
      </c>
      <c r="G2" s="10"/>
      <c r="H2" s="10"/>
      <c r="I2" s="10"/>
      <c r="L2" s="10"/>
      <c r="M2" s="10"/>
      <c r="N2" s="10"/>
      <c r="O2" s="10"/>
      <c r="P2" s="10"/>
      <c r="Q2" s="10"/>
    </row>
    <row r="3" spans="1:19" x14ac:dyDescent="0.35">
      <c r="A3" s="2">
        <v>102</v>
      </c>
      <c r="B3" s="2" t="s">
        <v>7</v>
      </c>
      <c r="C3" s="2">
        <v>150</v>
      </c>
      <c r="D3" s="2">
        <v>140</v>
      </c>
      <c r="E3" s="2" t="s">
        <v>8</v>
      </c>
      <c r="H3" s="4" t="b" cm="1">
        <f t="array" ref="H3:H8">IF(C2:C7=D2:D7,TRUE,FALSE)</f>
        <v>0</v>
      </c>
      <c r="M3" s="2" t="str" cm="1">
        <f t="array" ref="M3">_xlfn.IFS(C2&gt;=200,"Excellent",C2&gt;=150,"Good",C2&lt;150,"Needs Improvement")</f>
        <v>Needs Improvement</v>
      </c>
    </row>
    <row r="4" spans="1:19" x14ac:dyDescent="0.35">
      <c r="A4" s="2">
        <v>103</v>
      </c>
      <c r="B4" s="2" t="s">
        <v>9</v>
      </c>
      <c r="C4" s="2">
        <v>200</v>
      </c>
      <c r="D4" s="2">
        <v>200</v>
      </c>
      <c r="E4" s="2" t="s">
        <v>10</v>
      </c>
      <c r="H4" s="4" t="b">
        <v>0</v>
      </c>
      <c r="M4" s="2" t="str" cm="1">
        <f t="array" ref="M4">_xlfn.IFS(C3&gt;=200,"Excellent",C3&gt;=150,"Good",C3&lt;150,"Needs Improvement")</f>
        <v>Good</v>
      </c>
    </row>
    <row r="5" spans="1:19" x14ac:dyDescent="0.35">
      <c r="A5" s="2">
        <v>104</v>
      </c>
      <c r="B5" s="2" t="s">
        <v>11</v>
      </c>
      <c r="C5" s="2">
        <v>90</v>
      </c>
      <c r="D5" s="2">
        <v>100</v>
      </c>
      <c r="E5" s="2" t="s">
        <v>12</v>
      </c>
      <c r="H5" s="4" t="b">
        <v>1</v>
      </c>
      <c r="M5" s="2" t="str" cm="1">
        <f t="array" ref="M5">_xlfn.IFS(C4&gt;=200,"Excellent",C4&gt;=150,"Good",C4&lt;150,"Needs Improvement")</f>
        <v>Excellent</v>
      </c>
    </row>
    <row r="6" spans="1:19" x14ac:dyDescent="0.35">
      <c r="A6" s="2">
        <v>105</v>
      </c>
      <c r="B6" s="2" t="s">
        <v>13</v>
      </c>
      <c r="C6" s="2">
        <v>220</v>
      </c>
      <c r="D6" s="2">
        <v>210</v>
      </c>
      <c r="E6" s="2" t="s">
        <v>5</v>
      </c>
      <c r="H6" s="4" t="b">
        <v>0</v>
      </c>
      <c r="M6" s="2" t="str" cm="1">
        <f t="array" ref="M6">_xlfn.IFS(C5&gt;=200,"Excellent",C5&gt;=150,"Good",C5&lt;150,"Needs Improvement")</f>
        <v>Needs Improvement</v>
      </c>
    </row>
    <row r="7" spans="1:19" x14ac:dyDescent="0.35">
      <c r="A7" s="2">
        <v>106</v>
      </c>
      <c r="B7" s="2" t="s">
        <v>14</v>
      </c>
      <c r="C7" s="2">
        <v>130</v>
      </c>
      <c r="D7" s="2">
        <v>160</v>
      </c>
      <c r="E7" s="2" t="s">
        <v>8</v>
      </c>
      <c r="H7" s="4" t="b">
        <v>0</v>
      </c>
      <c r="M7" s="2" t="str" cm="1">
        <f t="array" ref="M7">_xlfn.IFS(C6&gt;=200,"Excellent",C6&gt;=150,"Good",C6&lt;150,"Needs Improvement")</f>
        <v>Excellent</v>
      </c>
    </row>
    <row r="8" spans="1:19" x14ac:dyDescent="0.35">
      <c r="H8" s="4" t="b">
        <v>0</v>
      </c>
      <c r="M8" s="2" t="str" cm="1">
        <f t="array" ref="M8">_xlfn.IFS(C7&gt;=200,"Excellent",C7&gt;=150,"Good",C7&lt;150,"Needs Improvement")</f>
        <v>Needs Improvement</v>
      </c>
    </row>
    <row r="9" spans="1:19" ht="8.5" customHeight="1" x14ac:dyDescent="0.35"/>
    <row r="10" spans="1:19" ht="34" customHeight="1" x14ac:dyDescent="0.35">
      <c r="G10" s="10" t="s">
        <v>16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2" spans="1:19" ht="20.399999999999999" customHeight="1" x14ac:dyDescent="0.35">
      <c r="G12" s="5" t="str">
        <f t="shared" ref="G12:G17" si="0">IF(AND(E2="North",C2&gt;=200),"Approved","Do better next time")</f>
        <v>Do better next time</v>
      </c>
      <c r="L12" s="10" t="s">
        <v>20</v>
      </c>
      <c r="M12" s="10"/>
      <c r="N12" s="10"/>
      <c r="O12" s="10"/>
      <c r="P12" s="10"/>
      <c r="Q12" s="10"/>
    </row>
    <row r="13" spans="1:19" ht="23.5" customHeight="1" x14ac:dyDescent="0.35">
      <c r="G13" s="5" t="str">
        <f t="shared" si="0"/>
        <v>Do better next time</v>
      </c>
      <c r="L13" s="10"/>
      <c r="M13" s="10"/>
      <c r="N13" s="10"/>
      <c r="O13" s="10"/>
      <c r="P13" s="10"/>
      <c r="Q13" s="10"/>
    </row>
    <row r="14" spans="1:19" x14ac:dyDescent="0.35">
      <c r="G14" s="5" t="str">
        <f t="shared" si="0"/>
        <v>Do better next time</v>
      </c>
      <c r="M14" s="8" t="str" cm="1">
        <f t="array" ref="M14">_xlfn.IFS(C2&gt;200,"High",AND(100&lt;C2,200&gt;C2),"Medium",C2&lt;100,"Low")</f>
        <v>Medium</v>
      </c>
    </row>
    <row r="15" spans="1:19" x14ac:dyDescent="0.35">
      <c r="G15" s="5" t="str">
        <f t="shared" si="0"/>
        <v>Do better next time</v>
      </c>
      <c r="M15" s="8" t="str" cm="1">
        <f t="array" ref="M15">_xlfn.IFS(C3&gt;200,"High",AND(100&lt;C3,200&gt;C3),"Medium",C3&lt;100,"Low")</f>
        <v>Medium</v>
      </c>
    </row>
    <row r="16" spans="1:19" x14ac:dyDescent="0.35">
      <c r="G16" s="5" t="str">
        <f t="shared" si="0"/>
        <v>Approved</v>
      </c>
      <c r="M16" s="8" t="str" cm="1">
        <f t="array" ref="M16">_xlfn.IFS(C4&gt;=200,"High",AND(100&lt;C4,200&gt;C4),"Medium",C4&lt;100,"Low")</f>
        <v>High</v>
      </c>
    </row>
    <row r="17" spans="7:23" x14ac:dyDescent="0.35">
      <c r="G17" s="5" t="str">
        <f t="shared" si="0"/>
        <v>Do better next time</v>
      </c>
      <c r="M17" s="8" t="str" cm="1">
        <f t="array" ref="M17">_xlfn.IFS(C5&gt;200,"High",AND(100&lt;C5,200&gt;C5),"Medium",C5&lt;100,"Low")</f>
        <v>Low</v>
      </c>
    </row>
    <row r="18" spans="7:23" x14ac:dyDescent="0.35">
      <c r="M18" s="8" t="str" cm="1">
        <f t="array" ref="M18">_xlfn.IFS(C6&gt;200,"High",AND(100&lt;C6,200&gt;C6),"Medium",C6&lt;100,"Low")</f>
        <v>High</v>
      </c>
    </row>
    <row r="19" spans="7:23" ht="20.399999999999999" customHeight="1" x14ac:dyDescent="0.35">
      <c r="G19" s="11" t="s">
        <v>17</v>
      </c>
      <c r="H19" s="11"/>
      <c r="I19" s="11"/>
      <c r="J19" s="3"/>
      <c r="K19" s="3"/>
      <c r="L19" s="3"/>
      <c r="M19" s="8" t="str" cm="1">
        <f t="array" ref="M19">_xlfn.IFS(C7&gt;200,"High",AND(100&lt;C7,200&gt;C7),"Medium",C7&lt;100,"Low")</f>
        <v>Medium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7:23" ht="26.5" customHeight="1" x14ac:dyDescent="0.35">
      <c r="G20" s="11"/>
      <c r="H20" s="11"/>
      <c r="I20" s="11"/>
    </row>
    <row r="22" spans="7:23" x14ac:dyDescent="0.35">
      <c r="H22" s="6" cm="1">
        <f t="array" ref="H22">_xlfn.IFS(C2&gt;=200,10%,C2&gt;=150,7%,C2&lt;150,5%)</f>
        <v>0.05</v>
      </c>
      <c r="L22" s="10" t="s">
        <v>21</v>
      </c>
      <c r="M22" s="10"/>
      <c r="N22" s="10"/>
      <c r="O22" s="10"/>
      <c r="P22" s="10"/>
      <c r="Q22" s="10"/>
    </row>
    <row r="23" spans="7:23" x14ac:dyDescent="0.35">
      <c r="H23" s="6" cm="1">
        <f t="array" ref="H23">_xlfn.IFS(C3&gt;=200,10%,C3&gt;=150,7%,C3&lt;150,5%)</f>
        <v>7.0000000000000007E-2</v>
      </c>
      <c r="L23" s="10"/>
      <c r="M23" s="10"/>
      <c r="N23" s="10"/>
      <c r="O23" s="10"/>
      <c r="P23" s="10"/>
      <c r="Q23" s="10"/>
    </row>
    <row r="24" spans="7:23" x14ac:dyDescent="0.35">
      <c r="H24" s="6" cm="1">
        <f t="array" ref="H24">_xlfn.IFS(C4&gt;=200,10%,C4&gt;=150,7%,C4&lt;150,5%)</f>
        <v>0.1</v>
      </c>
      <c r="M24" s="9">
        <f t="shared" ref="M24:M29" si="1">IF(AND(C2&gt;=150,E2="North"),500,300)</f>
        <v>300</v>
      </c>
    </row>
    <row r="25" spans="7:23" x14ac:dyDescent="0.35">
      <c r="H25" s="6" cm="1">
        <f t="array" ref="H25">_xlfn.IFS(C5&gt;=200,10%,C5&gt;=150,7%,C5&lt;150,5%)</f>
        <v>0.05</v>
      </c>
      <c r="M25" s="9">
        <f t="shared" si="1"/>
        <v>300</v>
      </c>
    </row>
    <row r="26" spans="7:23" x14ac:dyDescent="0.35">
      <c r="H26" s="6" cm="1">
        <f t="array" ref="H26">_xlfn.IFS(C6&gt;=200,10%,C6&gt;=150,7%,C6&lt;150,5%)</f>
        <v>0.1</v>
      </c>
      <c r="M26" s="9">
        <f t="shared" si="1"/>
        <v>300</v>
      </c>
    </row>
    <row r="27" spans="7:23" x14ac:dyDescent="0.35">
      <c r="H27" s="6" cm="1">
        <f t="array" ref="H27">_xlfn.IFS(C7&gt;=200,10%,C7&gt;=150,7%,C7&lt;150,5%)</f>
        <v>0.05</v>
      </c>
      <c r="M27" s="9">
        <f t="shared" si="1"/>
        <v>300</v>
      </c>
    </row>
    <row r="28" spans="7:23" ht="14.4" customHeight="1" x14ac:dyDescent="0.35">
      <c r="G28" s="10" t="s">
        <v>18</v>
      </c>
      <c r="H28" s="10"/>
      <c r="I28" s="10"/>
      <c r="M28" s="9">
        <f t="shared" si="1"/>
        <v>500</v>
      </c>
    </row>
    <row r="29" spans="7:23" x14ac:dyDescent="0.35">
      <c r="G29" s="10"/>
      <c r="H29" s="10"/>
      <c r="I29" s="10"/>
      <c r="M29" s="9">
        <f t="shared" si="1"/>
        <v>300</v>
      </c>
    </row>
    <row r="30" spans="7:23" x14ac:dyDescent="0.35">
      <c r="H30" s="7" cm="1">
        <f t="array" ref="H30">_xlfn.IFS(C2&gt;=D2,10%,C2&lt;D2,5%)</f>
        <v>0.05</v>
      </c>
    </row>
    <row r="31" spans="7:23" x14ac:dyDescent="0.35">
      <c r="H31" s="7" cm="1">
        <f t="array" ref="H31">_xlfn.IFS(C3&gt;=D3,10%,C3&lt;D3,5%)</f>
        <v>0.1</v>
      </c>
    </row>
    <row r="32" spans="7:23" x14ac:dyDescent="0.35">
      <c r="H32" s="7" cm="1">
        <f t="array" ref="H32">_xlfn.IFS(C4&gt;=D4,10%,C4&lt;D4,5%)</f>
        <v>0.1</v>
      </c>
      <c r="L32" s="10" t="s">
        <v>22</v>
      </c>
      <c r="M32" s="10"/>
      <c r="N32" s="10"/>
      <c r="O32" s="10"/>
      <c r="P32" s="10"/>
      <c r="Q32" s="10"/>
    </row>
    <row r="33" spans="8:17" x14ac:dyDescent="0.35">
      <c r="H33" s="7" cm="1">
        <f t="array" ref="H33">_xlfn.IFS(C5&gt;=D5,10%,C5&lt;D5,5%)</f>
        <v>0.05</v>
      </c>
      <c r="L33" s="10"/>
      <c r="M33" s="10"/>
      <c r="N33" s="10"/>
      <c r="O33" s="10"/>
      <c r="P33" s="10"/>
      <c r="Q33" s="10"/>
    </row>
    <row r="34" spans="8:17" x14ac:dyDescent="0.35">
      <c r="H34" s="7" cm="1">
        <f t="array" ref="H34">_xlfn.IFS(C6&gt;=D6,10%,C6&lt;D6,5%)</f>
        <v>0.1</v>
      </c>
      <c r="M34" s="2" t="str">
        <f t="shared" ref="M34:M39" si="2">IF(C2&gt;=PERCENTILE($C$2:$C$7,0.75),"High Performer"," N/A")</f>
        <v xml:space="preserve"> N/A</v>
      </c>
    </row>
    <row r="35" spans="8:17" x14ac:dyDescent="0.35">
      <c r="H35" s="7" cm="1">
        <f t="array" ref="H35">_xlfn.IFS(C7&gt;=D7,10%,C7&lt;D7,5%)</f>
        <v>0.05</v>
      </c>
      <c r="M35" s="2" t="str">
        <f t="shared" si="2"/>
        <v xml:space="preserve"> N/A</v>
      </c>
    </row>
    <row r="36" spans="8:17" x14ac:dyDescent="0.35">
      <c r="M36" s="2" t="str">
        <f t="shared" si="2"/>
        <v>High Performer</v>
      </c>
    </row>
    <row r="37" spans="8:17" x14ac:dyDescent="0.35">
      <c r="M37" s="2" t="str">
        <f t="shared" si="2"/>
        <v xml:space="preserve"> N/A</v>
      </c>
    </row>
    <row r="38" spans="8:17" x14ac:dyDescent="0.35">
      <c r="M38" s="2" t="str">
        <f t="shared" si="2"/>
        <v>High Performer</v>
      </c>
    </row>
    <row r="39" spans="8:17" x14ac:dyDescent="0.35">
      <c r="M39" s="2" t="str">
        <f t="shared" si="2"/>
        <v xml:space="preserve"> N/A</v>
      </c>
    </row>
  </sheetData>
  <mergeCells count="8">
    <mergeCell ref="L32:Q33"/>
    <mergeCell ref="G1:I2"/>
    <mergeCell ref="G10:S10"/>
    <mergeCell ref="G19:I20"/>
    <mergeCell ref="G28:I29"/>
    <mergeCell ref="L1:Q2"/>
    <mergeCell ref="L12:Q13"/>
    <mergeCell ref="L22:Q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Dawn</dc:creator>
  <cp:lastModifiedBy>Anjali Prasad</cp:lastModifiedBy>
  <dcterms:created xsi:type="dcterms:W3CDTF">2026-01-29T16:36:18Z</dcterms:created>
  <dcterms:modified xsi:type="dcterms:W3CDTF">2026-01-30T10:55:06Z</dcterms:modified>
</cp:coreProperties>
</file>