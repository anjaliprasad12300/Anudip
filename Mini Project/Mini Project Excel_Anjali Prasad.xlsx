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jal\Desktop\Excel Files\"/>
    </mc:Choice>
  </mc:AlternateContent>
  <xr:revisionPtr revIDLastSave="0" documentId="13_ncr:1_{2E91A862-4717-418E-A26D-FDF36E9BDE9D}" xr6:coauthVersionLast="47" xr6:coauthVersionMax="47" xr10:uidLastSave="{00000000-0000-0000-0000-000000000000}"/>
  <bookViews>
    <workbookView xWindow="-110" yWindow="-110" windowWidth="19420" windowHeight="10300" activeTab="4" xr2:uid="{A58DE227-878D-4EA5-9395-D3D8D23EED8A}"/>
  </bookViews>
  <sheets>
    <sheet name="Marksheet Data" sheetId="1" r:id="rId1"/>
    <sheet name="Logical Function" sheetId="2" r:id="rId2"/>
    <sheet name="LookUp" sheetId="3" r:id="rId3"/>
    <sheet name="Sorting" sheetId="4" r:id="rId4"/>
    <sheet name="Pivot Table and Chart" sheetId="7" r:id="rId5"/>
  </sheets>
  <definedNames>
    <definedName name="_xlnm._FilterDatabase" localSheetId="1" hidden="1">'Logical Function'!$A$1:$N$251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3" l="1"/>
  <c r="X5" i="3"/>
  <c r="R17" i="3"/>
  <c r="R9" i="3"/>
  <c r="R13" i="3"/>
  <c r="R5" i="3"/>
  <c r="M251" i="3"/>
  <c r="K251" i="3"/>
  <c r="J251" i="3"/>
  <c r="L251" i="3" s="1"/>
  <c r="N251" i="3" s="1"/>
  <c r="M250" i="3"/>
  <c r="K250" i="3"/>
  <c r="J250" i="3"/>
  <c r="L250" i="3" s="1"/>
  <c r="N250" i="3" s="1"/>
  <c r="M249" i="3"/>
  <c r="K249" i="3"/>
  <c r="J249" i="3"/>
  <c r="L249" i="3" s="1"/>
  <c r="N249" i="3" s="1"/>
  <c r="M248" i="3"/>
  <c r="L248" i="3"/>
  <c r="N248" i="3" s="1"/>
  <c r="K248" i="3"/>
  <c r="J248" i="3"/>
  <c r="M247" i="3"/>
  <c r="L247" i="3"/>
  <c r="N247" i="3" s="1"/>
  <c r="K247" i="3"/>
  <c r="J247" i="3"/>
  <c r="N246" i="3"/>
  <c r="M246" i="3"/>
  <c r="K246" i="3"/>
  <c r="J246" i="3"/>
  <c r="L246" i="3" s="1"/>
  <c r="M245" i="3"/>
  <c r="K245" i="3"/>
  <c r="J245" i="3"/>
  <c r="L245" i="3" s="1"/>
  <c r="N245" i="3" s="1"/>
  <c r="M244" i="3"/>
  <c r="L244" i="3"/>
  <c r="N244" i="3" s="1"/>
  <c r="K244" i="3"/>
  <c r="J244" i="3"/>
  <c r="M243" i="3"/>
  <c r="L243" i="3"/>
  <c r="N243" i="3" s="1"/>
  <c r="K243" i="3"/>
  <c r="J243" i="3"/>
  <c r="M242" i="3"/>
  <c r="K242" i="3"/>
  <c r="J242" i="3"/>
  <c r="L242" i="3" s="1"/>
  <c r="N242" i="3" s="1"/>
  <c r="M241" i="3"/>
  <c r="K241" i="3"/>
  <c r="J241" i="3"/>
  <c r="L241" i="3" s="1"/>
  <c r="N241" i="3" s="1"/>
  <c r="M240" i="3"/>
  <c r="L240" i="3"/>
  <c r="N240" i="3" s="1"/>
  <c r="K240" i="3"/>
  <c r="J240" i="3"/>
  <c r="M239" i="3"/>
  <c r="L239" i="3"/>
  <c r="N239" i="3" s="1"/>
  <c r="K239" i="3"/>
  <c r="J239" i="3"/>
  <c r="N238" i="3"/>
  <c r="M238" i="3"/>
  <c r="K238" i="3"/>
  <c r="J238" i="3"/>
  <c r="L238" i="3" s="1"/>
  <c r="M237" i="3"/>
  <c r="K237" i="3"/>
  <c r="J237" i="3"/>
  <c r="L237" i="3" s="1"/>
  <c r="N237" i="3" s="1"/>
  <c r="M236" i="3"/>
  <c r="L236" i="3"/>
  <c r="N236" i="3" s="1"/>
  <c r="K236" i="3"/>
  <c r="J236" i="3"/>
  <c r="M235" i="3"/>
  <c r="L235" i="3"/>
  <c r="N235" i="3" s="1"/>
  <c r="K235" i="3"/>
  <c r="J235" i="3"/>
  <c r="N234" i="3"/>
  <c r="M234" i="3"/>
  <c r="K234" i="3"/>
  <c r="J234" i="3"/>
  <c r="L234" i="3" s="1"/>
  <c r="M233" i="3"/>
  <c r="K233" i="3"/>
  <c r="J233" i="3"/>
  <c r="L233" i="3" s="1"/>
  <c r="N233" i="3" s="1"/>
  <c r="M232" i="3"/>
  <c r="L232" i="3"/>
  <c r="N232" i="3" s="1"/>
  <c r="K232" i="3"/>
  <c r="J232" i="3"/>
  <c r="M231" i="3"/>
  <c r="L231" i="3"/>
  <c r="N231" i="3" s="1"/>
  <c r="K231" i="3"/>
  <c r="J231" i="3"/>
  <c r="N230" i="3"/>
  <c r="M230" i="3"/>
  <c r="K230" i="3"/>
  <c r="J230" i="3"/>
  <c r="L230" i="3" s="1"/>
  <c r="M229" i="3"/>
  <c r="K229" i="3"/>
  <c r="J229" i="3"/>
  <c r="L229" i="3" s="1"/>
  <c r="N229" i="3" s="1"/>
  <c r="M228" i="3"/>
  <c r="L228" i="3"/>
  <c r="N228" i="3" s="1"/>
  <c r="K228" i="3"/>
  <c r="J228" i="3"/>
  <c r="M227" i="3"/>
  <c r="L227" i="3"/>
  <c r="N227" i="3" s="1"/>
  <c r="K227" i="3"/>
  <c r="J227" i="3"/>
  <c r="M226" i="3"/>
  <c r="K226" i="3"/>
  <c r="J226" i="3"/>
  <c r="L226" i="3" s="1"/>
  <c r="N226" i="3" s="1"/>
  <c r="M225" i="3"/>
  <c r="K225" i="3"/>
  <c r="J225" i="3"/>
  <c r="L225" i="3" s="1"/>
  <c r="N225" i="3" s="1"/>
  <c r="M224" i="3"/>
  <c r="L224" i="3"/>
  <c r="N224" i="3" s="1"/>
  <c r="K224" i="3"/>
  <c r="J224" i="3"/>
  <c r="M223" i="3"/>
  <c r="L223" i="3"/>
  <c r="N223" i="3" s="1"/>
  <c r="K223" i="3"/>
  <c r="J223" i="3"/>
  <c r="N222" i="3"/>
  <c r="M222" i="3"/>
  <c r="K222" i="3"/>
  <c r="J222" i="3"/>
  <c r="L222" i="3" s="1"/>
  <c r="M221" i="3"/>
  <c r="K221" i="3"/>
  <c r="J221" i="3"/>
  <c r="L221" i="3" s="1"/>
  <c r="N221" i="3" s="1"/>
  <c r="M220" i="3"/>
  <c r="L220" i="3"/>
  <c r="N220" i="3" s="1"/>
  <c r="K220" i="3"/>
  <c r="J220" i="3"/>
  <c r="M219" i="3"/>
  <c r="L219" i="3"/>
  <c r="N219" i="3" s="1"/>
  <c r="K219" i="3"/>
  <c r="J219" i="3"/>
  <c r="N218" i="3"/>
  <c r="M218" i="3"/>
  <c r="K218" i="3"/>
  <c r="J218" i="3"/>
  <c r="L218" i="3" s="1"/>
  <c r="M217" i="3"/>
  <c r="K217" i="3"/>
  <c r="J217" i="3"/>
  <c r="L217" i="3" s="1"/>
  <c r="N217" i="3" s="1"/>
  <c r="M216" i="3"/>
  <c r="L216" i="3"/>
  <c r="N216" i="3" s="1"/>
  <c r="K216" i="3"/>
  <c r="J216" i="3"/>
  <c r="M215" i="3"/>
  <c r="L215" i="3"/>
  <c r="N215" i="3" s="1"/>
  <c r="K215" i="3"/>
  <c r="J215" i="3"/>
  <c r="N214" i="3"/>
  <c r="M214" i="3"/>
  <c r="K214" i="3"/>
  <c r="J214" i="3"/>
  <c r="L214" i="3" s="1"/>
  <c r="M213" i="3"/>
  <c r="K213" i="3"/>
  <c r="J213" i="3"/>
  <c r="L213" i="3" s="1"/>
  <c r="N213" i="3" s="1"/>
  <c r="M212" i="3"/>
  <c r="L212" i="3"/>
  <c r="N212" i="3" s="1"/>
  <c r="K212" i="3"/>
  <c r="J212" i="3"/>
  <c r="M211" i="3"/>
  <c r="L211" i="3"/>
  <c r="N211" i="3" s="1"/>
  <c r="K211" i="3"/>
  <c r="J211" i="3"/>
  <c r="M210" i="3"/>
  <c r="K210" i="3"/>
  <c r="J210" i="3"/>
  <c r="L210" i="3" s="1"/>
  <c r="N210" i="3" s="1"/>
  <c r="M209" i="3"/>
  <c r="K209" i="3"/>
  <c r="J209" i="3"/>
  <c r="L209" i="3" s="1"/>
  <c r="N209" i="3" s="1"/>
  <c r="M208" i="3"/>
  <c r="L208" i="3"/>
  <c r="N208" i="3" s="1"/>
  <c r="K208" i="3"/>
  <c r="J208" i="3"/>
  <c r="M207" i="3"/>
  <c r="K207" i="3"/>
  <c r="J207" i="3"/>
  <c r="L207" i="3" s="1"/>
  <c r="N207" i="3" s="1"/>
  <c r="N206" i="3"/>
  <c r="M206" i="3"/>
  <c r="K206" i="3"/>
  <c r="J206" i="3"/>
  <c r="L206" i="3" s="1"/>
  <c r="M205" i="3"/>
  <c r="K205" i="3"/>
  <c r="J205" i="3"/>
  <c r="L205" i="3" s="1"/>
  <c r="N205" i="3" s="1"/>
  <c r="M204" i="3"/>
  <c r="L204" i="3"/>
  <c r="N204" i="3" s="1"/>
  <c r="K204" i="3"/>
  <c r="J204" i="3"/>
  <c r="M203" i="3"/>
  <c r="K203" i="3"/>
  <c r="J203" i="3"/>
  <c r="L203" i="3" s="1"/>
  <c r="N203" i="3" s="1"/>
  <c r="M202" i="3"/>
  <c r="K202" i="3"/>
  <c r="J202" i="3"/>
  <c r="L202" i="3" s="1"/>
  <c r="N202" i="3" s="1"/>
  <c r="M201" i="3"/>
  <c r="K201" i="3"/>
  <c r="J201" i="3"/>
  <c r="L201" i="3" s="1"/>
  <c r="N201" i="3" s="1"/>
  <c r="M200" i="3"/>
  <c r="L200" i="3"/>
  <c r="N200" i="3" s="1"/>
  <c r="K200" i="3"/>
  <c r="J200" i="3"/>
  <c r="M199" i="3"/>
  <c r="K199" i="3"/>
  <c r="J199" i="3"/>
  <c r="L199" i="3" s="1"/>
  <c r="N199" i="3" s="1"/>
  <c r="N198" i="3"/>
  <c r="M198" i="3"/>
  <c r="K198" i="3"/>
  <c r="J198" i="3"/>
  <c r="L198" i="3" s="1"/>
  <c r="M197" i="3"/>
  <c r="K197" i="3"/>
  <c r="J197" i="3"/>
  <c r="L197" i="3" s="1"/>
  <c r="N197" i="3" s="1"/>
  <c r="M196" i="3"/>
  <c r="L196" i="3"/>
  <c r="N196" i="3" s="1"/>
  <c r="K196" i="3"/>
  <c r="J196" i="3"/>
  <c r="M195" i="3"/>
  <c r="K195" i="3"/>
  <c r="J195" i="3"/>
  <c r="L195" i="3" s="1"/>
  <c r="N195" i="3" s="1"/>
  <c r="M194" i="3"/>
  <c r="K194" i="3"/>
  <c r="J194" i="3"/>
  <c r="L194" i="3" s="1"/>
  <c r="N194" i="3" s="1"/>
  <c r="M193" i="3"/>
  <c r="K193" i="3"/>
  <c r="J193" i="3"/>
  <c r="L193" i="3" s="1"/>
  <c r="N193" i="3" s="1"/>
  <c r="M192" i="3"/>
  <c r="L192" i="3"/>
  <c r="N192" i="3" s="1"/>
  <c r="K192" i="3"/>
  <c r="J192" i="3"/>
  <c r="M191" i="3"/>
  <c r="K191" i="3"/>
  <c r="J191" i="3"/>
  <c r="L191" i="3" s="1"/>
  <c r="N191" i="3" s="1"/>
  <c r="N190" i="3"/>
  <c r="M190" i="3"/>
  <c r="K190" i="3"/>
  <c r="J190" i="3"/>
  <c r="L190" i="3" s="1"/>
  <c r="M189" i="3"/>
  <c r="L189" i="3"/>
  <c r="N189" i="3" s="1"/>
  <c r="K189" i="3"/>
  <c r="J189" i="3"/>
  <c r="M188" i="3"/>
  <c r="L188" i="3"/>
  <c r="N188" i="3" s="1"/>
  <c r="K188" i="3"/>
  <c r="J188" i="3"/>
  <c r="M187" i="3"/>
  <c r="K187" i="3"/>
  <c r="J187" i="3"/>
  <c r="L187" i="3" s="1"/>
  <c r="N187" i="3" s="1"/>
  <c r="N186" i="3"/>
  <c r="M186" i="3"/>
  <c r="K186" i="3"/>
  <c r="J186" i="3"/>
  <c r="L186" i="3" s="1"/>
  <c r="M185" i="3"/>
  <c r="L185" i="3"/>
  <c r="N185" i="3" s="1"/>
  <c r="K185" i="3"/>
  <c r="J185" i="3"/>
  <c r="M184" i="3"/>
  <c r="L184" i="3"/>
  <c r="N184" i="3" s="1"/>
  <c r="K184" i="3"/>
  <c r="J184" i="3"/>
  <c r="M183" i="3"/>
  <c r="K183" i="3"/>
  <c r="J183" i="3"/>
  <c r="L183" i="3" s="1"/>
  <c r="N183" i="3" s="1"/>
  <c r="M182" i="3"/>
  <c r="K182" i="3"/>
  <c r="J182" i="3"/>
  <c r="L182" i="3" s="1"/>
  <c r="N182" i="3" s="1"/>
  <c r="M181" i="3"/>
  <c r="L181" i="3"/>
  <c r="N181" i="3" s="1"/>
  <c r="K181" i="3"/>
  <c r="J181" i="3"/>
  <c r="M180" i="3"/>
  <c r="L180" i="3"/>
  <c r="N180" i="3" s="1"/>
  <c r="K180" i="3"/>
  <c r="J180" i="3"/>
  <c r="M179" i="3"/>
  <c r="K179" i="3"/>
  <c r="J179" i="3"/>
  <c r="L179" i="3" s="1"/>
  <c r="N179" i="3" s="1"/>
  <c r="N178" i="3"/>
  <c r="M178" i="3"/>
  <c r="K178" i="3"/>
  <c r="J178" i="3"/>
  <c r="L178" i="3" s="1"/>
  <c r="M177" i="3"/>
  <c r="L177" i="3"/>
  <c r="N177" i="3" s="1"/>
  <c r="K177" i="3"/>
  <c r="J177" i="3"/>
  <c r="M176" i="3"/>
  <c r="L176" i="3"/>
  <c r="N176" i="3" s="1"/>
  <c r="K176" i="3"/>
  <c r="J176" i="3"/>
  <c r="M175" i="3"/>
  <c r="K175" i="3"/>
  <c r="J175" i="3"/>
  <c r="L175" i="3" s="1"/>
  <c r="N175" i="3" s="1"/>
  <c r="N174" i="3"/>
  <c r="M174" i="3"/>
  <c r="K174" i="3"/>
  <c r="J174" i="3"/>
  <c r="L174" i="3" s="1"/>
  <c r="M173" i="3"/>
  <c r="L173" i="3"/>
  <c r="N173" i="3" s="1"/>
  <c r="K173" i="3"/>
  <c r="J173" i="3"/>
  <c r="M172" i="3"/>
  <c r="L172" i="3"/>
  <c r="N172" i="3" s="1"/>
  <c r="K172" i="3"/>
  <c r="J172" i="3"/>
  <c r="M171" i="3"/>
  <c r="K171" i="3"/>
  <c r="J171" i="3"/>
  <c r="L171" i="3" s="1"/>
  <c r="N171" i="3" s="1"/>
  <c r="N170" i="3"/>
  <c r="M170" i="3"/>
  <c r="K170" i="3"/>
  <c r="J170" i="3"/>
  <c r="L170" i="3" s="1"/>
  <c r="M169" i="3"/>
  <c r="L169" i="3"/>
  <c r="N169" i="3" s="1"/>
  <c r="K169" i="3"/>
  <c r="J169" i="3"/>
  <c r="M168" i="3"/>
  <c r="L168" i="3"/>
  <c r="N168" i="3" s="1"/>
  <c r="K168" i="3"/>
  <c r="J168" i="3"/>
  <c r="M167" i="3"/>
  <c r="K167" i="3"/>
  <c r="J167" i="3"/>
  <c r="L167" i="3" s="1"/>
  <c r="N167" i="3" s="1"/>
  <c r="M166" i="3"/>
  <c r="K166" i="3"/>
  <c r="J166" i="3"/>
  <c r="L166" i="3" s="1"/>
  <c r="N166" i="3" s="1"/>
  <c r="M165" i="3"/>
  <c r="L165" i="3"/>
  <c r="N165" i="3" s="1"/>
  <c r="K165" i="3"/>
  <c r="J165" i="3"/>
  <c r="M164" i="3"/>
  <c r="L164" i="3"/>
  <c r="N164" i="3" s="1"/>
  <c r="K164" i="3"/>
  <c r="J164" i="3"/>
  <c r="M163" i="3"/>
  <c r="K163" i="3"/>
  <c r="J163" i="3"/>
  <c r="L163" i="3" s="1"/>
  <c r="N163" i="3" s="1"/>
  <c r="N162" i="3"/>
  <c r="M162" i="3"/>
  <c r="K162" i="3"/>
  <c r="J162" i="3"/>
  <c r="L162" i="3" s="1"/>
  <c r="M161" i="3"/>
  <c r="L161" i="3"/>
  <c r="N161" i="3" s="1"/>
  <c r="K161" i="3"/>
  <c r="J161" i="3"/>
  <c r="M160" i="3"/>
  <c r="L160" i="3"/>
  <c r="N160" i="3" s="1"/>
  <c r="K160" i="3"/>
  <c r="J160" i="3"/>
  <c r="M159" i="3"/>
  <c r="K159" i="3"/>
  <c r="J159" i="3"/>
  <c r="L159" i="3" s="1"/>
  <c r="N159" i="3" s="1"/>
  <c r="N158" i="3"/>
  <c r="M158" i="3"/>
  <c r="K158" i="3"/>
  <c r="J158" i="3"/>
  <c r="L158" i="3" s="1"/>
  <c r="M157" i="3"/>
  <c r="L157" i="3"/>
  <c r="N157" i="3" s="1"/>
  <c r="K157" i="3"/>
  <c r="J157" i="3"/>
  <c r="M156" i="3"/>
  <c r="L156" i="3"/>
  <c r="N156" i="3" s="1"/>
  <c r="K156" i="3"/>
  <c r="J156" i="3"/>
  <c r="M155" i="3"/>
  <c r="K155" i="3"/>
  <c r="J155" i="3"/>
  <c r="L155" i="3" s="1"/>
  <c r="N155" i="3" s="1"/>
  <c r="N154" i="3"/>
  <c r="M154" i="3"/>
  <c r="K154" i="3"/>
  <c r="J154" i="3"/>
  <c r="L154" i="3" s="1"/>
  <c r="M153" i="3"/>
  <c r="L153" i="3"/>
  <c r="N153" i="3" s="1"/>
  <c r="K153" i="3"/>
  <c r="J153" i="3"/>
  <c r="M152" i="3"/>
  <c r="L152" i="3"/>
  <c r="N152" i="3" s="1"/>
  <c r="K152" i="3"/>
  <c r="J152" i="3"/>
  <c r="M151" i="3"/>
  <c r="K151" i="3"/>
  <c r="J151" i="3"/>
  <c r="L151" i="3" s="1"/>
  <c r="N151" i="3" s="1"/>
  <c r="M150" i="3"/>
  <c r="K150" i="3"/>
  <c r="J150" i="3"/>
  <c r="L150" i="3" s="1"/>
  <c r="N150" i="3" s="1"/>
  <c r="M149" i="3"/>
  <c r="L149" i="3"/>
  <c r="N149" i="3" s="1"/>
  <c r="K149" i="3"/>
  <c r="J149" i="3"/>
  <c r="M148" i="3"/>
  <c r="L148" i="3"/>
  <c r="N148" i="3" s="1"/>
  <c r="K148" i="3"/>
  <c r="J148" i="3"/>
  <c r="M147" i="3"/>
  <c r="K147" i="3"/>
  <c r="J147" i="3"/>
  <c r="L147" i="3" s="1"/>
  <c r="N147" i="3" s="1"/>
  <c r="N146" i="3"/>
  <c r="M146" i="3"/>
  <c r="K146" i="3"/>
  <c r="J146" i="3"/>
  <c r="L146" i="3" s="1"/>
  <c r="M145" i="3"/>
  <c r="L145" i="3"/>
  <c r="N145" i="3" s="1"/>
  <c r="K145" i="3"/>
  <c r="J145" i="3"/>
  <c r="M144" i="3"/>
  <c r="L144" i="3"/>
  <c r="N144" i="3" s="1"/>
  <c r="K144" i="3"/>
  <c r="J144" i="3"/>
  <c r="M143" i="3"/>
  <c r="K143" i="3"/>
  <c r="J143" i="3"/>
  <c r="L143" i="3" s="1"/>
  <c r="N143" i="3" s="1"/>
  <c r="N142" i="3"/>
  <c r="M142" i="3"/>
  <c r="K142" i="3"/>
  <c r="J142" i="3"/>
  <c r="L142" i="3" s="1"/>
  <c r="M141" i="3"/>
  <c r="L141" i="3"/>
  <c r="N141" i="3" s="1"/>
  <c r="K141" i="3"/>
  <c r="J141" i="3"/>
  <c r="M140" i="3"/>
  <c r="L140" i="3"/>
  <c r="N140" i="3" s="1"/>
  <c r="K140" i="3"/>
  <c r="J140" i="3"/>
  <c r="M139" i="3"/>
  <c r="K139" i="3"/>
  <c r="J139" i="3"/>
  <c r="L139" i="3" s="1"/>
  <c r="N139" i="3" s="1"/>
  <c r="N138" i="3"/>
  <c r="M138" i="3"/>
  <c r="K138" i="3"/>
  <c r="J138" i="3"/>
  <c r="L138" i="3" s="1"/>
  <c r="M137" i="3"/>
  <c r="L137" i="3"/>
  <c r="N137" i="3" s="1"/>
  <c r="K137" i="3"/>
  <c r="J137" i="3"/>
  <c r="M136" i="3"/>
  <c r="L136" i="3"/>
  <c r="N136" i="3" s="1"/>
  <c r="K136" i="3"/>
  <c r="J136" i="3"/>
  <c r="M135" i="3"/>
  <c r="K135" i="3"/>
  <c r="J135" i="3"/>
  <c r="L135" i="3" s="1"/>
  <c r="N135" i="3" s="1"/>
  <c r="M134" i="3"/>
  <c r="K134" i="3"/>
  <c r="J134" i="3"/>
  <c r="L134" i="3" s="1"/>
  <c r="N134" i="3" s="1"/>
  <c r="M133" i="3"/>
  <c r="L133" i="3"/>
  <c r="N133" i="3" s="1"/>
  <c r="K133" i="3"/>
  <c r="J133" i="3"/>
  <c r="M132" i="3"/>
  <c r="L132" i="3"/>
  <c r="N132" i="3" s="1"/>
  <c r="K132" i="3"/>
  <c r="J132" i="3"/>
  <c r="M131" i="3"/>
  <c r="K131" i="3"/>
  <c r="J131" i="3"/>
  <c r="L131" i="3" s="1"/>
  <c r="N131" i="3" s="1"/>
  <c r="N130" i="3"/>
  <c r="M130" i="3"/>
  <c r="K130" i="3"/>
  <c r="J130" i="3"/>
  <c r="L130" i="3" s="1"/>
  <c r="M129" i="3"/>
  <c r="L129" i="3"/>
  <c r="N129" i="3" s="1"/>
  <c r="K129" i="3"/>
  <c r="J129" i="3"/>
  <c r="M128" i="3"/>
  <c r="L128" i="3"/>
  <c r="N128" i="3" s="1"/>
  <c r="K128" i="3"/>
  <c r="J128" i="3"/>
  <c r="M127" i="3"/>
  <c r="K127" i="3"/>
  <c r="J127" i="3"/>
  <c r="L127" i="3" s="1"/>
  <c r="N127" i="3" s="1"/>
  <c r="N126" i="3"/>
  <c r="M126" i="3"/>
  <c r="K126" i="3"/>
  <c r="J126" i="3"/>
  <c r="L126" i="3" s="1"/>
  <c r="M125" i="3"/>
  <c r="L125" i="3"/>
  <c r="N125" i="3" s="1"/>
  <c r="K125" i="3"/>
  <c r="J125" i="3"/>
  <c r="M124" i="3"/>
  <c r="L124" i="3"/>
  <c r="N124" i="3" s="1"/>
  <c r="K124" i="3"/>
  <c r="J124" i="3"/>
  <c r="M123" i="3"/>
  <c r="K123" i="3"/>
  <c r="J123" i="3"/>
  <c r="L123" i="3" s="1"/>
  <c r="N123" i="3" s="1"/>
  <c r="N122" i="3"/>
  <c r="M122" i="3"/>
  <c r="K122" i="3"/>
  <c r="J122" i="3"/>
  <c r="L122" i="3" s="1"/>
  <c r="M121" i="3"/>
  <c r="L121" i="3"/>
  <c r="N121" i="3" s="1"/>
  <c r="K121" i="3"/>
  <c r="J121" i="3"/>
  <c r="M120" i="3"/>
  <c r="L120" i="3"/>
  <c r="N120" i="3" s="1"/>
  <c r="K120" i="3"/>
  <c r="J120" i="3"/>
  <c r="M119" i="3"/>
  <c r="K119" i="3"/>
  <c r="J119" i="3"/>
  <c r="L119" i="3" s="1"/>
  <c r="N119" i="3" s="1"/>
  <c r="M118" i="3"/>
  <c r="K118" i="3"/>
  <c r="J118" i="3"/>
  <c r="L118" i="3" s="1"/>
  <c r="N118" i="3" s="1"/>
  <c r="M117" i="3"/>
  <c r="L117" i="3"/>
  <c r="N117" i="3" s="1"/>
  <c r="K117" i="3"/>
  <c r="J117" i="3"/>
  <c r="M116" i="3"/>
  <c r="L116" i="3"/>
  <c r="N116" i="3" s="1"/>
  <c r="K116" i="3"/>
  <c r="J116" i="3"/>
  <c r="M115" i="3"/>
  <c r="K115" i="3"/>
  <c r="J115" i="3"/>
  <c r="L115" i="3" s="1"/>
  <c r="N115" i="3" s="1"/>
  <c r="N114" i="3"/>
  <c r="M114" i="3"/>
  <c r="K114" i="3"/>
  <c r="J114" i="3"/>
  <c r="L114" i="3" s="1"/>
  <c r="M113" i="3"/>
  <c r="L113" i="3"/>
  <c r="N113" i="3" s="1"/>
  <c r="K113" i="3"/>
  <c r="J113" i="3"/>
  <c r="M112" i="3"/>
  <c r="L112" i="3"/>
  <c r="N112" i="3" s="1"/>
  <c r="K112" i="3"/>
  <c r="J112" i="3"/>
  <c r="M111" i="3"/>
  <c r="K111" i="3"/>
  <c r="J111" i="3"/>
  <c r="L111" i="3" s="1"/>
  <c r="N111" i="3" s="1"/>
  <c r="N110" i="3"/>
  <c r="M110" i="3"/>
  <c r="K110" i="3"/>
  <c r="J110" i="3"/>
  <c r="L110" i="3" s="1"/>
  <c r="M109" i="3"/>
  <c r="L109" i="3"/>
  <c r="N109" i="3" s="1"/>
  <c r="K109" i="3"/>
  <c r="J109" i="3"/>
  <c r="M108" i="3"/>
  <c r="L108" i="3"/>
  <c r="N108" i="3" s="1"/>
  <c r="K108" i="3"/>
  <c r="J108" i="3"/>
  <c r="M107" i="3"/>
  <c r="K107" i="3"/>
  <c r="J107" i="3"/>
  <c r="L107" i="3" s="1"/>
  <c r="N107" i="3" s="1"/>
  <c r="N106" i="3"/>
  <c r="M106" i="3"/>
  <c r="K106" i="3"/>
  <c r="J106" i="3"/>
  <c r="L106" i="3" s="1"/>
  <c r="M105" i="3"/>
  <c r="L105" i="3"/>
  <c r="N105" i="3" s="1"/>
  <c r="K105" i="3"/>
  <c r="J105" i="3"/>
  <c r="M104" i="3"/>
  <c r="L104" i="3"/>
  <c r="N104" i="3" s="1"/>
  <c r="K104" i="3"/>
  <c r="J104" i="3"/>
  <c r="M103" i="3"/>
  <c r="K103" i="3"/>
  <c r="J103" i="3"/>
  <c r="L103" i="3" s="1"/>
  <c r="N103" i="3" s="1"/>
  <c r="M102" i="3"/>
  <c r="K102" i="3"/>
  <c r="J102" i="3"/>
  <c r="L102" i="3" s="1"/>
  <c r="N102" i="3" s="1"/>
  <c r="M101" i="3"/>
  <c r="L101" i="3"/>
  <c r="N101" i="3" s="1"/>
  <c r="K101" i="3"/>
  <c r="J101" i="3"/>
  <c r="M100" i="3"/>
  <c r="L100" i="3"/>
  <c r="N100" i="3" s="1"/>
  <c r="K100" i="3"/>
  <c r="J100" i="3"/>
  <c r="M99" i="3"/>
  <c r="K99" i="3"/>
  <c r="J99" i="3"/>
  <c r="L99" i="3" s="1"/>
  <c r="N99" i="3" s="1"/>
  <c r="N98" i="3"/>
  <c r="M98" i="3"/>
  <c r="K98" i="3"/>
  <c r="J98" i="3"/>
  <c r="L98" i="3" s="1"/>
  <c r="M97" i="3"/>
  <c r="L97" i="3"/>
  <c r="N97" i="3" s="1"/>
  <c r="K97" i="3"/>
  <c r="J97" i="3"/>
  <c r="M96" i="3"/>
  <c r="L96" i="3"/>
  <c r="N96" i="3" s="1"/>
  <c r="K96" i="3"/>
  <c r="J96" i="3"/>
  <c r="M95" i="3"/>
  <c r="K95" i="3"/>
  <c r="J95" i="3"/>
  <c r="L95" i="3" s="1"/>
  <c r="N95" i="3" s="1"/>
  <c r="N94" i="3"/>
  <c r="M94" i="3"/>
  <c r="K94" i="3"/>
  <c r="J94" i="3"/>
  <c r="L94" i="3" s="1"/>
  <c r="M93" i="3"/>
  <c r="L93" i="3"/>
  <c r="N93" i="3" s="1"/>
  <c r="K93" i="3"/>
  <c r="J93" i="3"/>
  <c r="M92" i="3"/>
  <c r="L92" i="3"/>
  <c r="N92" i="3" s="1"/>
  <c r="K92" i="3"/>
  <c r="J92" i="3"/>
  <c r="M91" i="3"/>
  <c r="K91" i="3"/>
  <c r="J91" i="3"/>
  <c r="L91" i="3" s="1"/>
  <c r="N91" i="3" s="1"/>
  <c r="N90" i="3"/>
  <c r="M90" i="3"/>
  <c r="K90" i="3"/>
  <c r="J90" i="3"/>
  <c r="L90" i="3" s="1"/>
  <c r="M89" i="3"/>
  <c r="L89" i="3"/>
  <c r="N89" i="3" s="1"/>
  <c r="K89" i="3"/>
  <c r="J89" i="3"/>
  <c r="M88" i="3"/>
  <c r="L88" i="3"/>
  <c r="N88" i="3" s="1"/>
  <c r="K88" i="3"/>
  <c r="J88" i="3"/>
  <c r="M87" i="3"/>
  <c r="K87" i="3"/>
  <c r="J87" i="3"/>
  <c r="L87" i="3" s="1"/>
  <c r="N87" i="3" s="1"/>
  <c r="M86" i="3"/>
  <c r="K86" i="3"/>
  <c r="J86" i="3"/>
  <c r="L86" i="3" s="1"/>
  <c r="N86" i="3" s="1"/>
  <c r="M85" i="3"/>
  <c r="L85" i="3"/>
  <c r="N85" i="3" s="1"/>
  <c r="K85" i="3"/>
  <c r="J85" i="3"/>
  <c r="M84" i="3"/>
  <c r="L84" i="3"/>
  <c r="N84" i="3" s="1"/>
  <c r="K84" i="3"/>
  <c r="J84" i="3"/>
  <c r="M83" i="3"/>
  <c r="K83" i="3"/>
  <c r="J83" i="3"/>
  <c r="L83" i="3" s="1"/>
  <c r="N83" i="3" s="1"/>
  <c r="N82" i="3"/>
  <c r="M82" i="3"/>
  <c r="K82" i="3"/>
  <c r="J82" i="3"/>
  <c r="L82" i="3" s="1"/>
  <c r="M81" i="3"/>
  <c r="L81" i="3"/>
  <c r="N81" i="3" s="1"/>
  <c r="K81" i="3"/>
  <c r="J81" i="3"/>
  <c r="M80" i="3"/>
  <c r="K80" i="3"/>
  <c r="J80" i="3"/>
  <c r="L80" i="3" s="1"/>
  <c r="N80" i="3" s="1"/>
  <c r="M79" i="3"/>
  <c r="K79" i="3"/>
  <c r="J79" i="3"/>
  <c r="L79" i="3" s="1"/>
  <c r="N79" i="3" s="1"/>
  <c r="M78" i="3"/>
  <c r="L78" i="3"/>
  <c r="N78" i="3" s="1"/>
  <c r="K78" i="3"/>
  <c r="J78" i="3"/>
  <c r="M77" i="3"/>
  <c r="L77" i="3"/>
  <c r="N77" i="3" s="1"/>
  <c r="K77" i="3"/>
  <c r="J77" i="3"/>
  <c r="M76" i="3"/>
  <c r="L76" i="3"/>
  <c r="N76" i="3" s="1"/>
  <c r="K76" i="3"/>
  <c r="J76" i="3"/>
  <c r="N75" i="3"/>
  <c r="M75" i="3"/>
  <c r="K75" i="3"/>
  <c r="J75" i="3"/>
  <c r="L75" i="3" s="1"/>
  <c r="M74" i="3"/>
  <c r="K74" i="3"/>
  <c r="J74" i="3"/>
  <c r="L74" i="3" s="1"/>
  <c r="N74" i="3" s="1"/>
  <c r="M73" i="3"/>
  <c r="L73" i="3"/>
  <c r="N73" i="3" s="1"/>
  <c r="K73" i="3"/>
  <c r="J73" i="3"/>
  <c r="M72" i="3"/>
  <c r="K72" i="3"/>
  <c r="J72" i="3"/>
  <c r="L72" i="3" s="1"/>
  <c r="N72" i="3" s="1"/>
  <c r="M71" i="3"/>
  <c r="K71" i="3"/>
  <c r="J71" i="3"/>
  <c r="L71" i="3" s="1"/>
  <c r="N71" i="3" s="1"/>
  <c r="M70" i="3"/>
  <c r="L70" i="3"/>
  <c r="N70" i="3" s="1"/>
  <c r="K70" i="3"/>
  <c r="J70" i="3"/>
  <c r="M69" i="3"/>
  <c r="L69" i="3"/>
  <c r="N69" i="3" s="1"/>
  <c r="K69" i="3"/>
  <c r="J69" i="3"/>
  <c r="M68" i="3"/>
  <c r="L68" i="3"/>
  <c r="N68" i="3" s="1"/>
  <c r="K68" i="3"/>
  <c r="J68" i="3"/>
  <c r="N67" i="3"/>
  <c r="M67" i="3"/>
  <c r="K67" i="3"/>
  <c r="J67" i="3"/>
  <c r="L67" i="3" s="1"/>
  <c r="M66" i="3"/>
  <c r="K66" i="3"/>
  <c r="J66" i="3"/>
  <c r="L66" i="3" s="1"/>
  <c r="N66" i="3" s="1"/>
  <c r="M65" i="3"/>
  <c r="L65" i="3"/>
  <c r="N65" i="3" s="1"/>
  <c r="K65" i="3"/>
  <c r="J65" i="3"/>
  <c r="M64" i="3"/>
  <c r="K64" i="3"/>
  <c r="J64" i="3"/>
  <c r="L64" i="3" s="1"/>
  <c r="N64" i="3" s="1"/>
  <c r="M63" i="3"/>
  <c r="K63" i="3"/>
  <c r="J63" i="3"/>
  <c r="L63" i="3" s="1"/>
  <c r="N63" i="3" s="1"/>
  <c r="M62" i="3"/>
  <c r="L62" i="3"/>
  <c r="N62" i="3" s="1"/>
  <c r="K62" i="3"/>
  <c r="J62" i="3"/>
  <c r="M61" i="3"/>
  <c r="L61" i="3"/>
  <c r="N61" i="3" s="1"/>
  <c r="K61" i="3"/>
  <c r="J61" i="3"/>
  <c r="M60" i="3"/>
  <c r="K60" i="3"/>
  <c r="J60" i="3"/>
  <c r="L60" i="3" s="1"/>
  <c r="N60" i="3" s="1"/>
  <c r="M59" i="3"/>
  <c r="K59" i="3"/>
  <c r="J59" i="3"/>
  <c r="L59" i="3" s="1"/>
  <c r="N59" i="3" s="1"/>
  <c r="M58" i="3"/>
  <c r="L58" i="3"/>
  <c r="N58" i="3" s="1"/>
  <c r="K58" i="3"/>
  <c r="J58" i="3"/>
  <c r="M57" i="3"/>
  <c r="L57" i="3"/>
  <c r="N57" i="3" s="1"/>
  <c r="K57" i="3"/>
  <c r="J57" i="3"/>
  <c r="M56" i="3"/>
  <c r="K56" i="3"/>
  <c r="J56" i="3"/>
  <c r="L56" i="3" s="1"/>
  <c r="N56" i="3" s="1"/>
  <c r="M55" i="3"/>
  <c r="K55" i="3"/>
  <c r="J55" i="3"/>
  <c r="L55" i="3" s="1"/>
  <c r="N55" i="3" s="1"/>
  <c r="M54" i="3"/>
  <c r="L54" i="3"/>
  <c r="N54" i="3" s="1"/>
  <c r="K54" i="3"/>
  <c r="J54" i="3"/>
  <c r="M53" i="3"/>
  <c r="L53" i="3"/>
  <c r="N53" i="3" s="1"/>
  <c r="K53" i="3"/>
  <c r="J53" i="3"/>
  <c r="M52" i="3"/>
  <c r="K52" i="3"/>
  <c r="J52" i="3"/>
  <c r="L52" i="3" s="1"/>
  <c r="N52" i="3" s="1"/>
  <c r="M51" i="3"/>
  <c r="K51" i="3"/>
  <c r="J51" i="3"/>
  <c r="L51" i="3" s="1"/>
  <c r="N51" i="3" s="1"/>
  <c r="M50" i="3"/>
  <c r="L50" i="3"/>
  <c r="N50" i="3" s="1"/>
  <c r="K50" i="3"/>
  <c r="J50" i="3"/>
  <c r="M49" i="3"/>
  <c r="L49" i="3"/>
  <c r="N49" i="3" s="1"/>
  <c r="K49" i="3"/>
  <c r="J49" i="3"/>
  <c r="M48" i="3"/>
  <c r="K48" i="3"/>
  <c r="J48" i="3"/>
  <c r="L48" i="3" s="1"/>
  <c r="N48" i="3" s="1"/>
  <c r="M47" i="3"/>
  <c r="K47" i="3"/>
  <c r="J47" i="3"/>
  <c r="L47" i="3" s="1"/>
  <c r="N47" i="3" s="1"/>
  <c r="M46" i="3"/>
  <c r="L46" i="3"/>
  <c r="N46" i="3" s="1"/>
  <c r="K46" i="3"/>
  <c r="J46" i="3"/>
  <c r="M45" i="3"/>
  <c r="L45" i="3"/>
  <c r="N45" i="3" s="1"/>
  <c r="K45" i="3"/>
  <c r="J45" i="3"/>
  <c r="M44" i="3"/>
  <c r="K44" i="3"/>
  <c r="J44" i="3"/>
  <c r="L44" i="3" s="1"/>
  <c r="N44" i="3" s="1"/>
  <c r="M43" i="3"/>
  <c r="K43" i="3"/>
  <c r="J43" i="3"/>
  <c r="L43" i="3" s="1"/>
  <c r="N43" i="3" s="1"/>
  <c r="M42" i="3"/>
  <c r="L42" i="3"/>
  <c r="N42" i="3" s="1"/>
  <c r="K42" i="3"/>
  <c r="J42" i="3"/>
  <c r="M41" i="3"/>
  <c r="L41" i="3"/>
  <c r="N41" i="3" s="1"/>
  <c r="K41" i="3"/>
  <c r="J41" i="3"/>
  <c r="M40" i="3"/>
  <c r="K40" i="3"/>
  <c r="J40" i="3"/>
  <c r="L40" i="3" s="1"/>
  <c r="N40" i="3" s="1"/>
  <c r="M39" i="3"/>
  <c r="K39" i="3"/>
  <c r="J39" i="3"/>
  <c r="L39" i="3" s="1"/>
  <c r="N39" i="3" s="1"/>
  <c r="M38" i="3"/>
  <c r="L38" i="3"/>
  <c r="N38" i="3" s="1"/>
  <c r="K38" i="3"/>
  <c r="J38" i="3"/>
  <c r="M37" i="3"/>
  <c r="L37" i="3"/>
  <c r="N37" i="3" s="1"/>
  <c r="K37" i="3"/>
  <c r="J37" i="3"/>
  <c r="M36" i="3"/>
  <c r="K36" i="3"/>
  <c r="J36" i="3"/>
  <c r="L36" i="3" s="1"/>
  <c r="N36" i="3" s="1"/>
  <c r="M35" i="3"/>
  <c r="K35" i="3"/>
  <c r="J35" i="3"/>
  <c r="L35" i="3" s="1"/>
  <c r="N35" i="3" s="1"/>
  <c r="M34" i="3"/>
  <c r="L34" i="3"/>
  <c r="N34" i="3" s="1"/>
  <c r="K34" i="3"/>
  <c r="J34" i="3"/>
  <c r="M33" i="3"/>
  <c r="L33" i="3"/>
  <c r="N33" i="3" s="1"/>
  <c r="K33" i="3"/>
  <c r="J33" i="3"/>
  <c r="M32" i="3"/>
  <c r="K32" i="3"/>
  <c r="J32" i="3"/>
  <c r="L32" i="3" s="1"/>
  <c r="N32" i="3" s="1"/>
  <c r="M31" i="3"/>
  <c r="K31" i="3"/>
  <c r="J31" i="3"/>
  <c r="L31" i="3" s="1"/>
  <c r="N31" i="3" s="1"/>
  <c r="M30" i="3"/>
  <c r="L30" i="3"/>
  <c r="N30" i="3" s="1"/>
  <c r="K30" i="3"/>
  <c r="J30" i="3"/>
  <c r="M29" i="3"/>
  <c r="L29" i="3"/>
  <c r="N29" i="3" s="1"/>
  <c r="K29" i="3"/>
  <c r="J29" i="3"/>
  <c r="M28" i="3"/>
  <c r="K28" i="3"/>
  <c r="J28" i="3"/>
  <c r="L28" i="3" s="1"/>
  <c r="N28" i="3" s="1"/>
  <c r="M27" i="3"/>
  <c r="K27" i="3"/>
  <c r="J27" i="3"/>
  <c r="L27" i="3" s="1"/>
  <c r="N27" i="3" s="1"/>
  <c r="M26" i="3"/>
  <c r="L26" i="3"/>
  <c r="N26" i="3" s="1"/>
  <c r="K26" i="3"/>
  <c r="J26" i="3"/>
  <c r="M25" i="3"/>
  <c r="L25" i="3"/>
  <c r="N25" i="3" s="1"/>
  <c r="K25" i="3"/>
  <c r="J25" i="3"/>
  <c r="M24" i="3"/>
  <c r="K24" i="3"/>
  <c r="J24" i="3"/>
  <c r="L24" i="3" s="1"/>
  <c r="N24" i="3" s="1"/>
  <c r="M23" i="3"/>
  <c r="K23" i="3"/>
  <c r="J23" i="3"/>
  <c r="L23" i="3" s="1"/>
  <c r="N23" i="3" s="1"/>
  <c r="M22" i="3"/>
  <c r="L22" i="3"/>
  <c r="N22" i="3" s="1"/>
  <c r="K22" i="3"/>
  <c r="J22" i="3"/>
  <c r="M21" i="3"/>
  <c r="L21" i="3"/>
  <c r="N21" i="3" s="1"/>
  <c r="K21" i="3"/>
  <c r="J21" i="3"/>
  <c r="M20" i="3"/>
  <c r="K20" i="3"/>
  <c r="J20" i="3"/>
  <c r="L20" i="3" s="1"/>
  <c r="N20" i="3" s="1"/>
  <c r="M19" i="3"/>
  <c r="K19" i="3"/>
  <c r="J19" i="3"/>
  <c r="L19" i="3" s="1"/>
  <c r="N19" i="3" s="1"/>
  <c r="M18" i="3"/>
  <c r="L18" i="3"/>
  <c r="N18" i="3" s="1"/>
  <c r="K18" i="3"/>
  <c r="J18" i="3"/>
  <c r="M17" i="3"/>
  <c r="L17" i="3"/>
  <c r="N17" i="3" s="1"/>
  <c r="K17" i="3"/>
  <c r="J17" i="3"/>
  <c r="M16" i="3"/>
  <c r="K16" i="3"/>
  <c r="J16" i="3"/>
  <c r="L16" i="3" s="1"/>
  <c r="N16" i="3" s="1"/>
  <c r="M15" i="3"/>
  <c r="K15" i="3"/>
  <c r="J15" i="3"/>
  <c r="L15" i="3" s="1"/>
  <c r="N15" i="3" s="1"/>
  <c r="M14" i="3"/>
  <c r="L14" i="3"/>
  <c r="N14" i="3" s="1"/>
  <c r="K14" i="3"/>
  <c r="J14" i="3"/>
  <c r="M13" i="3"/>
  <c r="L13" i="3"/>
  <c r="N13" i="3" s="1"/>
  <c r="K13" i="3"/>
  <c r="J13" i="3"/>
  <c r="M12" i="3"/>
  <c r="K12" i="3"/>
  <c r="J12" i="3"/>
  <c r="L12" i="3" s="1"/>
  <c r="N12" i="3" s="1"/>
  <c r="M11" i="3"/>
  <c r="K11" i="3"/>
  <c r="J11" i="3"/>
  <c r="L11" i="3" s="1"/>
  <c r="N11" i="3" s="1"/>
  <c r="M10" i="3"/>
  <c r="L10" i="3"/>
  <c r="N10" i="3" s="1"/>
  <c r="K10" i="3"/>
  <c r="J10" i="3"/>
  <c r="M9" i="3"/>
  <c r="L9" i="3"/>
  <c r="N9" i="3" s="1"/>
  <c r="K9" i="3"/>
  <c r="J9" i="3"/>
  <c r="M8" i="3"/>
  <c r="K8" i="3"/>
  <c r="J8" i="3"/>
  <c r="L8" i="3" s="1"/>
  <c r="N8" i="3" s="1"/>
  <c r="M7" i="3"/>
  <c r="K7" i="3"/>
  <c r="J7" i="3"/>
  <c r="L7" i="3" s="1"/>
  <c r="N7" i="3" s="1"/>
  <c r="M6" i="3"/>
  <c r="L6" i="3"/>
  <c r="N6" i="3" s="1"/>
  <c r="K6" i="3"/>
  <c r="J6" i="3"/>
  <c r="M5" i="3"/>
  <c r="L5" i="3"/>
  <c r="N5" i="3" s="1"/>
  <c r="K5" i="3"/>
  <c r="J5" i="3"/>
  <c r="M4" i="3"/>
  <c r="K4" i="3"/>
  <c r="J4" i="3"/>
  <c r="L4" i="3" s="1"/>
  <c r="N4" i="3" s="1"/>
  <c r="M3" i="3"/>
  <c r="K3" i="3"/>
  <c r="J3" i="3"/>
  <c r="L3" i="3" s="1"/>
  <c r="N3" i="3" s="1"/>
  <c r="M2" i="3"/>
  <c r="L2" i="3"/>
  <c r="N2" i="3" s="1"/>
  <c r="K2" i="3"/>
  <c r="J2" i="3"/>
  <c r="V18" i="2"/>
  <c r="V14" i="2"/>
  <c r="V10" i="2"/>
  <c r="V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3" i="2"/>
  <c r="M4" i="2"/>
  <c r="M5" i="2"/>
  <c r="M6" i="2"/>
  <c r="M7" i="2"/>
  <c r="M8" i="2"/>
  <c r="M2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3" i="2"/>
  <c r="L4" i="2"/>
  <c r="L5" i="2"/>
  <c r="L6" i="2"/>
  <c r="L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" i="2"/>
</calcChain>
</file>

<file path=xl/sharedStrings.xml><?xml version="1.0" encoding="utf-8"?>
<sst xmlns="http://schemas.openxmlformats.org/spreadsheetml/2006/main" count="3079" uniqueCount="287">
  <si>
    <t>id</t>
  </si>
  <si>
    <t>Name</t>
  </si>
  <si>
    <t>Gender</t>
  </si>
  <si>
    <t>Age</t>
  </si>
  <si>
    <t>Section</t>
  </si>
  <si>
    <t>Science</t>
  </si>
  <si>
    <t>English</t>
  </si>
  <si>
    <t>History</t>
  </si>
  <si>
    <t>Maths</t>
  </si>
  <si>
    <t>Bronnie</t>
  </si>
  <si>
    <t>Female</t>
  </si>
  <si>
    <t>C</t>
  </si>
  <si>
    <t>Lemmie</t>
  </si>
  <si>
    <t>Male</t>
  </si>
  <si>
    <t>B</t>
  </si>
  <si>
    <t>Danya</t>
  </si>
  <si>
    <t>Denna</t>
  </si>
  <si>
    <t>Jocelin</t>
  </si>
  <si>
    <t>A</t>
  </si>
  <si>
    <t>Malissa</t>
  </si>
  <si>
    <t>Ichabod</t>
  </si>
  <si>
    <t>Beverlie</t>
  </si>
  <si>
    <t>Corrine</t>
  </si>
  <si>
    <t>Tate</t>
  </si>
  <si>
    <t>Dunn</t>
  </si>
  <si>
    <t>Valaria</t>
  </si>
  <si>
    <t>Merrick</t>
  </si>
  <si>
    <t>Gracie</t>
  </si>
  <si>
    <t>Missy</t>
  </si>
  <si>
    <t>Gilberta</t>
  </si>
  <si>
    <t>Peggy</t>
  </si>
  <si>
    <t>Dory</t>
  </si>
  <si>
    <t>Opalina</t>
  </si>
  <si>
    <t>Ashlan</t>
  </si>
  <si>
    <t>Amery</t>
  </si>
  <si>
    <t>Benoite</t>
  </si>
  <si>
    <t>Merle</t>
  </si>
  <si>
    <t>Valma</t>
  </si>
  <si>
    <t>Jone</t>
  </si>
  <si>
    <t>Rae</t>
  </si>
  <si>
    <t>Charmine</t>
  </si>
  <si>
    <t>Hanan</t>
  </si>
  <si>
    <t>Adrian</t>
  </si>
  <si>
    <t>Livia</t>
  </si>
  <si>
    <t>Richie</t>
  </si>
  <si>
    <t>Ekaterina</t>
  </si>
  <si>
    <t>Tamra</t>
  </si>
  <si>
    <t>Zarla</t>
  </si>
  <si>
    <t>Tommy</t>
  </si>
  <si>
    <t>Anna-diane</t>
  </si>
  <si>
    <t>Josh</t>
  </si>
  <si>
    <t>Claudina</t>
  </si>
  <si>
    <t>Adah</t>
  </si>
  <si>
    <t>Luelle</t>
  </si>
  <si>
    <t>Johannes</t>
  </si>
  <si>
    <t>Hetty</t>
  </si>
  <si>
    <t>Brandie</t>
  </si>
  <si>
    <t>Arvie</t>
  </si>
  <si>
    <t>Jacenta</t>
  </si>
  <si>
    <t>Teddy</t>
  </si>
  <si>
    <t>Everett</t>
  </si>
  <si>
    <t>Lyda</t>
  </si>
  <si>
    <t>Vinny</t>
  </si>
  <si>
    <t>Karrie</t>
  </si>
  <si>
    <t>Skipp</t>
  </si>
  <si>
    <t>Rollie</t>
  </si>
  <si>
    <t>Ruben</t>
  </si>
  <si>
    <t>Tabbie</t>
  </si>
  <si>
    <t>Lief</t>
  </si>
  <si>
    <t>Olenka</t>
  </si>
  <si>
    <t>Hinze</t>
  </si>
  <si>
    <t>Issie</t>
  </si>
  <si>
    <t>Yardley</t>
  </si>
  <si>
    <t>Winslow</t>
  </si>
  <si>
    <t>Bobbee</t>
  </si>
  <si>
    <t>Fanny</t>
  </si>
  <si>
    <t>Massimiliano</t>
  </si>
  <si>
    <t>Shannon</t>
  </si>
  <si>
    <t>Mufi</t>
  </si>
  <si>
    <t>Christan</t>
  </si>
  <si>
    <t>Orrin</t>
  </si>
  <si>
    <t>Drusi</t>
  </si>
  <si>
    <t>Nil</t>
  </si>
  <si>
    <t>Jessamine</t>
  </si>
  <si>
    <t>Bil</t>
  </si>
  <si>
    <t>Jaymie</t>
  </si>
  <si>
    <t>Lorrie</t>
  </si>
  <si>
    <t>Bethena</t>
  </si>
  <si>
    <t>Sascha</t>
  </si>
  <si>
    <t>Cherie</t>
  </si>
  <si>
    <t>David</t>
  </si>
  <si>
    <t>Jody</t>
  </si>
  <si>
    <t>Rosalynd</t>
  </si>
  <si>
    <t>Elton</t>
  </si>
  <si>
    <t>Teresita</t>
  </si>
  <si>
    <t>Dannel</t>
  </si>
  <si>
    <t>Amabel</t>
  </si>
  <si>
    <t>Eugine</t>
  </si>
  <si>
    <t>Brien</t>
  </si>
  <si>
    <t>Agace</t>
  </si>
  <si>
    <t>Aubrey</t>
  </si>
  <si>
    <t>Sheffie</t>
  </si>
  <si>
    <t>Ranee</t>
  </si>
  <si>
    <t>Cobby</t>
  </si>
  <si>
    <t>Linn</t>
  </si>
  <si>
    <t>Daffi</t>
  </si>
  <si>
    <t>Morganne</t>
  </si>
  <si>
    <t>Dael</t>
  </si>
  <si>
    <t>Ario</t>
  </si>
  <si>
    <t>Georgia</t>
  </si>
  <si>
    <t>Adolphus</t>
  </si>
  <si>
    <t>Silvia</t>
  </si>
  <si>
    <t>Brendin</t>
  </si>
  <si>
    <t>Loella</t>
  </si>
  <si>
    <t>Hildegaard</t>
  </si>
  <si>
    <t>Alvin</t>
  </si>
  <si>
    <t>Christoph</t>
  </si>
  <si>
    <t>Woodie</t>
  </si>
  <si>
    <t>Jeannie</t>
  </si>
  <si>
    <t>Jocelyne</t>
  </si>
  <si>
    <t>Rina</t>
  </si>
  <si>
    <t>Virgie</t>
  </si>
  <si>
    <t>Vaughn</t>
  </si>
  <si>
    <t>Cherry</t>
  </si>
  <si>
    <t>Abel</t>
  </si>
  <si>
    <t>Matt</t>
  </si>
  <si>
    <t>Josefa</t>
  </si>
  <si>
    <t>Coretta</t>
  </si>
  <si>
    <t>Chris</t>
  </si>
  <si>
    <t>Shanie</t>
  </si>
  <si>
    <t>Kath</t>
  </si>
  <si>
    <t>Bent</t>
  </si>
  <si>
    <t>Aretha</t>
  </si>
  <si>
    <t>Alyse</t>
  </si>
  <si>
    <t>Patrizia</t>
  </si>
  <si>
    <t>Gloria</t>
  </si>
  <si>
    <t>Brandise</t>
  </si>
  <si>
    <t>Orin</t>
  </si>
  <si>
    <t>Fredric</t>
  </si>
  <si>
    <t>Pat</t>
  </si>
  <si>
    <t>Bennie</t>
  </si>
  <si>
    <t>Starlin</t>
  </si>
  <si>
    <t>Susy</t>
  </si>
  <si>
    <t>Eadmund</t>
  </si>
  <si>
    <t>Blisse</t>
  </si>
  <si>
    <t>Tymothy</t>
  </si>
  <si>
    <t>Lindsay</t>
  </si>
  <si>
    <t>Jehanna</t>
  </si>
  <si>
    <t>Humfrid</t>
  </si>
  <si>
    <t>Hector</t>
  </si>
  <si>
    <t>Ailene</t>
  </si>
  <si>
    <t>Berget</t>
  </si>
  <si>
    <t>Bevan</t>
  </si>
  <si>
    <t>Ricky</t>
  </si>
  <si>
    <t>Isidora</t>
  </si>
  <si>
    <t>Emmanuel</t>
  </si>
  <si>
    <t>Cristian</t>
  </si>
  <si>
    <t>Guido</t>
  </si>
  <si>
    <t>Alis</t>
  </si>
  <si>
    <t>Jaquenette</t>
  </si>
  <si>
    <t>Danni</t>
  </si>
  <si>
    <t>Adrianne</t>
  </si>
  <si>
    <t>Inger</t>
  </si>
  <si>
    <t>Herold</t>
  </si>
  <si>
    <t>Candide</t>
  </si>
  <si>
    <t>Susi</t>
  </si>
  <si>
    <t>Milo</t>
  </si>
  <si>
    <t>Emlyn</t>
  </si>
  <si>
    <t>Sarah</t>
  </si>
  <si>
    <t>Paten</t>
  </si>
  <si>
    <t>Aldin</t>
  </si>
  <si>
    <t>Reagan</t>
  </si>
  <si>
    <t>Patty</t>
  </si>
  <si>
    <t>Barde</t>
  </si>
  <si>
    <t>Pepi</t>
  </si>
  <si>
    <t>Page</t>
  </si>
  <si>
    <t>Alard</t>
  </si>
  <si>
    <t>Fidelia</t>
  </si>
  <si>
    <t>Hali</t>
  </si>
  <si>
    <t>Keeley</t>
  </si>
  <si>
    <t>Ilaire</t>
  </si>
  <si>
    <t>Ermina</t>
  </si>
  <si>
    <t>Fran</t>
  </si>
  <si>
    <t>Desmund</t>
  </si>
  <si>
    <t>Rosamond</t>
  </si>
  <si>
    <t>Margaux</t>
  </si>
  <si>
    <t>Shalom</t>
  </si>
  <si>
    <t>Ivan</t>
  </si>
  <si>
    <t>Guntar</t>
  </si>
  <si>
    <t>Moselle</t>
  </si>
  <si>
    <t>Val</t>
  </si>
  <si>
    <t>Amber</t>
  </si>
  <si>
    <t>Davidde</t>
  </si>
  <si>
    <t>Richard</t>
  </si>
  <si>
    <t>Sebastian</t>
  </si>
  <si>
    <t>Billie</t>
  </si>
  <si>
    <t>Purcell</t>
  </si>
  <si>
    <t>Alaine</t>
  </si>
  <si>
    <t>Goldarina</t>
  </si>
  <si>
    <t>Ruperto</t>
  </si>
  <si>
    <t>Oberon</t>
  </si>
  <si>
    <t>Ezekiel</t>
  </si>
  <si>
    <t>Estel</t>
  </si>
  <si>
    <t>Jayme</t>
  </si>
  <si>
    <t>Hebert</t>
  </si>
  <si>
    <t>Olivia</t>
  </si>
  <si>
    <t>Darya</t>
  </si>
  <si>
    <t>Nita</t>
  </si>
  <si>
    <t>Elbertina</t>
  </si>
  <si>
    <t>Carol</t>
  </si>
  <si>
    <t>Codi</t>
  </si>
  <si>
    <t>Ruddie</t>
  </si>
  <si>
    <t>Baudoin</t>
  </si>
  <si>
    <t>Norri</t>
  </si>
  <si>
    <t>Nealon</t>
  </si>
  <si>
    <t>Willem</t>
  </si>
  <si>
    <t>Rosalyn</t>
  </si>
  <si>
    <t>Fannie</t>
  </si>
  <si>
    <t>Davis</t>
  </si>
  <si>
    <t>Zenia</t>
  </si>
  <si>
    <t>Alasteir</t>
  </si>
  <si>
    <t>Vivyan</t>
  </si>
  <si>
    <t>Reg</t>
  </si>
  <si>
    <t>Evangelin</t>
  </si>
  <si>
    <t>Tucky</t>
  </si>
  <si>
    <t>Betteann</t>
  </si>
  <si>
    <t>Elyn</t>
  </si>
  <si>
    <t>Kirk</t>
  </si>
  <si>
    <t>Zack</t>
  </si>
  <si>
    <t>Buffy</t>
  </si>
  <si>
    <t>Tammy</t>
  </si>
  <si>
    <t>Ericka</t>
  </si>
  <si>
    <t>Natty</t>
  </si>
  <si>
    <t>Leda</t>
  </si>
  <si>
    <t>Tabbi</t>
  </si>
  <si>
    <t>Romonda</t>
  </si>
  <si>
    <t>Blake</t>
  </si>
  <si>
    <t>Josepha</t>
  </si>
  <si>
    <t>Maureene</t>
  </si>
  <si>
    <t>Ginnifer</t>
  </si>
  <si>
    <t>Kent</t>
  </si>
  <si>
    <t>Stillman</t>
  </si>
  <si>
    <t>Maude</t>
  </si>
  <si>
    <t>Alysa</t>
  </si>
  <si>
    <t>Mortimer</t>
  </si>
  <si>
    <t>Fleming</t>
  </si>
  <si>
    <t>Nadia</t>
  </si>
  <si>
    <t>Britt</t>
  </si>
  <si>
    <t>Lazar</t>
  </si>
  <si>
    <t>Ashlin</t>
  </si>
  <si>
    <t>Raimund</t>
  </si>
  <si>
    <t>Claudell</t>
  </si>
  <si>
    <t>Janey</t>
  </si>
  <si>
    <t>Morrie</t>
  </si>
  <si>
    <t>Domingo</t>
  </si>
  <si>
    <t>Jesselyn</t>
  </si>
  <si>
    <t>Nickie</t>
  </si>
  <si>
    <t>Rog</t>
  </si>
  <si>
    <t>Kaia</t>
  </si>
  <si>
    <t>Anni</t>
  </si>
  <si>
    <t>Fernande</t>
  </si>
  <si>
    <t>Total Marks</t>
  </si>
  <si>
    <t>Qno. 1. Find the total marks for each student.</t>
  </si>
  <si>
    <t>Average</t>
  </si>
  <si>
    <t>Qno 2. Calculate the average marks of each student.</t>
  </si>
  <si>
    <t>Percentage</t>
  </si>
  <si>
    <t>Qno 3. Calculate percentage assuming each subject is out of 100.</t>
  </si>
  <si>
    <t>Qno. 4. Student passes if all subjects have ≥ 35 marks.</t>
  </si>
  <si>
    <t>Assign Grade</t>
  </si>
  <si>
    <t>Qno. 5. Assign grades based on percentage:≥ 75 → A,≥ 60 → B,≥ 50 → C,≥ 35 → D,&lt; 35 → F</t>
  </si>
  <si>
    <t>Qno. 6. Find the highest marks in Math.</t>
  </si>
  <si>
    <t>Qno. 7. Find the lowest marks in Science.</t>
  </si>
  <si>
    <t>Qno. 8. Counts the number of students who passed</t>
  </si>
  <si>
    <t>Result(Pass or Fail)</t>
  </si>
  <si>
    <t>Qno. 9. counts the number of students who failed</t>
  </si>
  <si>
    <t>Qno. 1. Use VLOOKUP to find a student’s Name using Roll Number.</t>
  </si>
  <si>
    <t>Qno. 10. Highlight students who scored less than 33 in Science as red colour</t>
  </si>
  <si>
    <t>Qno.3. Use HLOOKUP to find English marks of student "Denna"</t>
  </si>
  <si>
    <t>Qno. 2. Find the Section of a student "Bronnie" using ID.</t>
  </si>
  <si>
    <t>Qno. 4. Use INDEX to find Math marks of the 5th student.</t>
  </si>
  <si>
    <t>Qno. 5. Use MATCH to find the column number of “English”.</t>
  </si>
  <si>
    <t>Qno. 6. Find History marks using ID with INDEX &amp; MATCH of Student "Bronnie"</t>
  </si>
  <si>
    <t>Qno. 1. Sort the entire data according to names in ascending order</t>
  </si>
  <si>
    <t>Row Labels</t>
  </si>
  <si>
    <t>Grand Total</t>
  </si>
  <si>
    <t>Sum of Average</t>
  </si>
  <si>
    <t>Sum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</si>
</sst>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6" fillId="0" borderId="10" xfId="0" applyFont="1" applyBorder="1"/>
    <xf numFmtId="0" fontId="16" fillId="33" borderId="10" xfId="0" applyFont="1" applyFill="1" applyBorder="1"/>
    <xf numFmtId="0" fontId="16" fillId="34" borderId="10" xfId="0" applyFont="1" applyFill="1" applyBorder="1"/>
    <xf numFmtId="0" fontId="0" fillId="34" borderId="10" xfId="0" applyFill="1" applyBorder="1"/>
    <xf numFmtId="0" fontId="16" fillId="35" borderId="10" xfId="0" applyFont="1" applyFill="1" applyBorder="1"/>
    <xf numFmtId="0" fontId="0" fillId="35" borderId="10" xfId="0" applyFill="1" applyBorder="1"/>
    <xf numFmtId="0" fontId="0" fillId="36" borderId="10" xfId="0" applyFill="1" applyBorder="1"/>
    <xf numFmtId="0" fontId="16" fillId="36" borderId="10" xfId="0" applyFont="1" applyFill="1" applyBorder="1"/>
    <xf numFmtId="0" fontId="16" fillId="37" borderId="10" xfId="0" applyFont="1" applyFill="1" applyBorder="1"/>
    <xf numFmtId="0" fontId="0" fillId="37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8" borderId="0" xfId="0" applyFill="1" applyAlignment="1">
      <alignment wrapText="1"/>
    </xf>
    <xf numFmtId="0" fontId="0" fillId="39" borderId="0" xfId="0" applyFill="1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35" borderId="0" xfId="0" applyFill="1" applyAlignment="1">
      <alignment wrapText="1"/>
    </xf>
    <xf numFmtId="0" fontId="0" fillId="36" borderId="0" xfId="0" applyFill="1" applyAlignment="1">
      <alignment wrapText="1"/>
    </xf>
    <xf numFmtId="0" fontId="0" fillId="37" borderId="0" xfId="0" applyFill="1" applyAlignment="1">
      <alignment horizontal="center" wrapText="1"/>
    </xf>
    <xf numFmtId="0" fontId="0" fillId="40" borderId="0" xfId="0" applyFill="1" applyAlignment="1">
      <alignment wrapText="1"/>
    </xf>
    <xf numFmtId="0" fontId="0" fillId="41" borderId="0" xfId="0" applyFill="1" applyAlignment="1">
      <alignment wrapText="1"/>
    </xf>
    <xf numFmtId="0" fontId="17" fillId="42" borderId="0" xfId="0" applyFont="1" applyFill="1" applyAlignment="1">
      <alignment wrapText="1"/>
    </xf>
    <xf numFmtId="0" fontId="0" fillId="43" borderId="0" xfId="0" applyFill="1" applyAlignment="1">
      <alignment wrapText="1"/>
    </xf>
    <xf numFmtId="0" fontId="0" fillId="44" borderId="0" xfId="0" applyFill="1" applyAlignment="1">
      <alignment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Excel_Anjali Prasad.xlsx]Pivot Table and Chart!PivotTable2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13648293963254"/>
          <c:y val="0.29004192184310296"/>
          <c:w val="0.76112270341207344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and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'Pivot Table and Chart'!$B$4:$B$7</c:f>
              <c:numCache>
                <c:formatCode>General</c:formatCode>
                <c:ptCount val="3"/>
                <c:pt idx="0">
                  <c:v>4113</c:v>
                </c:pt>
                <c:pt idx="1">
                  <c:v>4146.75</c:v>
                </c:pt>
                <c:pt idx="2">
                  <c:v>4534.5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1-4253-8889-EB109706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550175"/>
        <c:axId val="1403549695"/>
      </c:barChart>
      <c:catAx>
        <c:axId val="140355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49695"/>
        <c:crosses val="autoZero"/>
        <c:auto val="1"/>
        <c:lblAlgn val="ctr"/>
        <c:lblOffset val="100"/>
        <c:noMultiLvlLbl val="0"/>
      </c:catAx>
      <c:valAx>
        <c:axId val="14035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55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Excel_Anjali Prasad.xlsx]Pivot Table and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and Chart'!$G$3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 and Chart'!$F$4:$F$6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and Chart'!$G$4:$G$6</c:f>
              <c:numCache>
                <c:formatCode>General</c:formatCode>
                <c:ptCount val="2"/>
                <c:pt idx="0">
                  <c:v>1655</c:v>
                </c:pt>
                <c:pt idx="1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1-407E-9454-5ACED2E4A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 Project Excel_Anjali Prasad.xlsx]Pivot Table and Chart!PivotTable3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and Chart'!$K$2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Chart'!$J$3:$J$5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 and Chart'!$K$3:$K$5</c:f>
              <c:numCache>
                <c:formatCode>General</c:formatCode>
                <c:ptCount val="2"/>
                <c:pt idx="0">
                  <c:v>5977.25</c:v>
                </c:pt>
                <c:pt idx="1">
                  <c:v>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50-48D0-9A0F-74310F355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526447"/>
        <c:axId val="163526927"/>
      </c:barChart>
      <c:catAx>
        <c:axId val="163526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6927"/>
        <c:crosses val="autoZero"/>
        <c:auto val="1"/>
        <c:lblAlgn val="ctr"/>
        <c:lblOffset val="100"/>
        <c:noMultiLvlLbl val="0"/>
      </c:catAx>
      <c:valAx>
        <c:axId val="16352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2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7</xdr:row>
      <xdr:rowOff>184149</xdr:rowOff>
    </xdr:from>
    <xdr:to>
      <xdr:col>4</xdr:col>
      <xdr:colOff>88900</xdr:colOff>
      <xdr:row>18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F0D5E3-77C7-2513-012A-793136312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260350</xdr:colOff>
      <xdr:row>8</xdr:row>
      <xdr:rowOff>12699</xdr:rowOff>
    </xdr:from>
    <xdr:to>
      <xdr:col>8</xdr:col>
      <xdr:colOff>361950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52B38C-F46F-EAD0-83F3-3C8F7F69F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</xdr:colOff>
      <xdr:row>8</xdr:row>
      <xdr:rowOff>19050</xdr:rowOff>
    </xdr:from>
    <xdr:to>
      <xdr:col>12</xdr:col>
      <xdr:colOff>590550</xdr:colOff>
      <xdr:row>18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4760DB-1ABD-53A1-B041-F07DE2277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" refreshedDate="46057.710712731481" createdVersion="8" refreshedVersion="8" minRefreshableVersion="3" recordCount="250" xr:uid="{D78BAC23-C16F-4119-B75E-32229C6AF7A8}">
  <cacheSource type="worksheet">
    <worksheetSource ref="A1:N251" sheet="Logical Function"/>
  </cacheSource>
  <cacheFields count="14">
    <cacheField name="id" numFmtId="0">
      <sharedItems containsSemiMixedTypes="0" containsString="0" containsNumber="1" containsInteger="1" minValue="1" maxValue="250"/>
    </cacheField>
    <cacheField name="Name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3" maxValue="15"/>
    </cacheField>
    <cacheField name="Section" numFmtId="0">
      <sharedItems count="3">
        <s v="C"/>
        <s v="B"/>
        <s v="A"/>
      </sharedItems>
    </cacheField>
    <cacheField name="Science" numFmtId="0">
      <sharedItems containsSemiMixedTypes="0" containsString="0" containsNumber="1" containsInteger="1" minValue="1" maxValue="100"/>
    </cacheField>
    <cacheField name="English" numFmtId="0">
      <sharedItems containsSemiMixedTypes="0" containsString="0" containsNumber="1" containsInteger="1" minValue="1" maxValue="100"/>
    </cacheField>
    <cacheField name="History" numFmtId="0">
      <sharedItems containsSemiMixedTypes="0" containsString="0" containsNumber="1" containsInteger="1" minValue="1" maxValue="100"/>
    </cacheField>
    <cacheField name="Maths" numFmtId="0">
      <sharedItems containsSemiMixedTypes="0" containsString="0" containsNumber="1" containsInteger="1" minValue="1" maxValue="100"/>
    </cacheField>
    <cacheField name="Total Marks" numFmtId="0">
      <sharedItems containsSemiMixedTypes="0" containsString="0" containsNumber="1" containsInteger="1" minValue="57" maxValue="361"/>
    </cacheField>
    <cacheField name="Average" numFmtId="0">
      <sharedItems containsSemiMixedTypes="0" containsString="0" containsNumber="1" minValue="14.25" maxValue="90.25"/>
    </cacheField>
    <cacheField name="Percentage" numFmtId="0">
      <sharedItems containsSemiMixedTypes="0" containsString="0" containsNumber="1" minValue="14.249999999999998" maxValue="90.25"/>
    </cacheField>
    <cacheField name="Result(Pass or Fail)" numFmtId="0">
      <sharedItems count="2">
        <s v="Fail"/>
        <s v="Pass"/>
      </sharedItems>
    </cacheField>
    <cacheField name="Assign Grade" numFmtId="0">
      <sharedItems count="5">
        <s v="C"/>
        <s v="F"/>
        <s v="D"/>
        <s v="A"/>
        <s v="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n v="1"/>
    <s v="Bronnie"/>
    <x v="0"/>
    <n v="13"/>
    <x v="0"/>
    <n v="21"/>
    <n v="81"/>
    <n v="62"/>
    <n v="49"/>
    <n v="213"/>
    <n v="53.25"/>
    <n v="53.25"/>
    <x v="0"/>
    <x v="0"/>
  </r>
  <r>
    <n v="2"/>
    <s v="Lemmie"/>
    <x v="1"/>
    <n v="15"/>
    <x v="1"/>
    <n v="29"/>
    <n v="41"/>
    <n v="17"/>
    <n v="40"/>
    <n v="127"/>
    <n v="31.75"/>
    <n v="31.75"/>
    <x v="0"/>
    <x v="1"/>
  </r>
  <r>
    <n v="3"/>
    <s v="Danya"/>
    <x v="0"/>
    <n v="14"/>
    <x v="0"/>
    <n v="12"/>
    <n v="87"/>
    <n v="16"/>
    <n v="96"/>
    <n v="211"/>
    <n v="52.75"/>
    <n v="52.75"/>
    <x v="0"/>
    <x v="0"/>
  </r>
  <r>
    <n v="4"/>
    <s v="Denna"/>
    <x v="0"/>
    <n v="14"/>
    <x v="1"/>
    <n v="15"/>
    <n v="53"/>
    <n v="82"/>
    <n v="33"/>
    <n v="183"/>
    <n v="45.75"/>
    <n v="45.75"/>
    <x v="0"/>
    <x v="2"/>
  </r>
  <r>
    <n v="5"/>
    <s v="Jocelin"/>
    <x v="1"/>
    <n v="14"/>
    <x v="2"/>
    <n v="43"/>
    <n v="6"/>
    <n v="3"/>
    <n v="21"/>
    <n v="73"/>
    <n v="18.25"/>
    <n v="18.25"/>
    <x v="0"/>
    <x v="1"/>
  </r>
  <r>
    <n v="6"/>
    <s v="Malissa"/>
    <x v="0"/>
    <n v="14"/>
    <x v="0"/>
    <n v="98"/>
    <n v="51"/>
    <n v="85"/>
    <n v="76"/>
    <n v="310"/>
    <n v="77.5"/>
    <n v="77.5"/>
    <x v="1"/>
    <x v="3"/>
  </r>
  <r>
    <n v="7"/>
    <s v="Ichabod"/>
    <x v="0"/>
    <n v="14"/>
    <x v="1"/>
    <n v="38"/>
    <n v="74"/>
    <n v="54"/>
    <n v="60"/>
    <n v="226"/>
    <n v="56.5"/>
    <n v="56.499999999999993"/>
    <x v="1"/>
    <x v="0"/>
  </r>
  <r>
    <n v="8"/>
    <s v="Beverlie"/>
    <x v="1"/>
    <n v="14"/>
    <x v="1"/>
    <n v="25"/>
    <n v="51"/>
    <n v="41"/>
    <n v="80"/>
    <n v="197"/>
    <n v="49.25"/>
    <n v="49.25"/>
    <x v="0"/>
    <x v="2"/>
  </r>
  <r>
    <n v="9"/>
    <s v="Corrine"/>
    <x v="1"/>
    <n v="15"/>
    <x v="2"/>
    <n v="39"/>
    <n v="16"/>
    <n v="22"/>
    <n v="49"/>
    <n v="126"/>
    <n v="31.5"/>
    <n v="31.5"/>
    <x v="0"/>
    <x v="1"/>
  </r>
  <r>
    <n v="10"/>
    <s v="Tate"/>
    <x v="1"/>
    <n v="15"/>
    <x v="0"/>
    <n v="35"/>
    <n v="25"/>
    <n v="37"/>
    <n v="27"/>
    <n v="124"/>
    <n v="31"/>
    <n v="31"/>
    <x v="0"/>
    <x v="1"/>
  </r>
  <r>
    <n v="11"/>
    <s v="Dunn"/>
    <x v="1"/>
    <n v="15"/>
    <x v="0"/>
    <n v="100"/>
    <n v="93"/>
    <n v="87"/>
    <n v="81"/>
    <n v="361"/>
    <n v="90.25"/>
    <n v="90.25"/>
    <x v="1"/>
    <x v="3"/>
  </r>
  <r>
    <n v="12"/>
    <s v="Valaria"/>
    <x v="1"/>
    <n v="13"/>
    <x v="1"/>
    <n v="19"/>
    <n v="5"/>
    <n v="78"/>
    <n v="76"/>
    <n v="178"/>
    <n v="44.5"/>
    <n v="44.5"/>
    <x v="0"/>
    <x v="2"/>
  </r>
  <r>
    <n v="13"/>
    <s v="Merrick"/>
    <x v="1"/>
    <n v="15"/>
    <x v="2"/>
    <n v="65"/>
    <n v="89"/>
    <n v="96"/>
    <n v="34"/>
    <n v="284"/>
    <n v="71"/>
    <n v="71"/>
    <x v="0"/>
    <x v="4"/>
  </r>
  <r>
    <n v="14"/>
    <s v="Gracie"/>
    <x v="0"/>
    <n v="13"/>
    <x v="1"/>
    <n v="93"/>
    <n v="38"/>
    <n v="39"/>
    <n v="93"/>
    <n v="263"/>
    <n v="65.75"/>
    <n v="65.75"/>
    <x v="1"/>
    <x v="4"/>
  </r>
  <r>
    <n v="15"/>
    <s v="Missy"/>
    <x v="0"/>
    <n v="13"/>
    <x v="1"/>
    <n v="98"/>
    <n v="18"/>
    <n v="84"/>
    <n v="74"/>
    <n v="274"/>
    <n v="68.5"/>
    <n v="68.5"/>
    <x v="0"/>
    <x v="4"/>
  </r>
  <r>
    <n v="16"/>
    <s v="Gilberta"/>
    <x v="1"/>
    <n v="15"/>
    <x v="2"/>
    <n v="53"/>
    <n v="30"/>
    <n v="90"/>
    <n v="64"/>
    <n v="237"/>
    <n v="59.25"/>
    <n v="59.25"/>
    <x v="0"/>
    <x v="0"/>
  </r>
  <r>
    <n v="17"/>
    <s v="Peggy"/>
    <x v="1"/>
    <n v="13"/>
    <x v="2"/>
    <n v="91"/>
    <n v="45"/>
    <n v="44"/>
    <n v="45"/>
    <n v="225"/>
    <n v="56.25"/>
    <n v="56.25"/>
    <x v="1"/>
    <x v="0"/>
  </r>
  <r>
    <n v="18"/>
    <s v="Dory"/>
    <x v="0"/>
    <n v="13"/>
    <x v="1"/>
    <n v="5"/>
    <n v="89"/>
    <n v="25"/>
    <n v="23"/>
    <n v="142"/>
    <n v="35.5"/>
    <n v="35.5"/>
    <x v="0"/>
    <x v="2"/>
  </r>
  <r>
    <n v="19"/>
    <s v="Opalina"/>
    <x v="0"/>
    <n v="13"/>
    <x v="1"/>
    <n v="62"/>
    <n v="77"/>
    <n v="75"/>
    <n v="72"/>
    <n v="286"/>
    <n v="71.5"/>
    <n v="71.5"/>
    <x v="1"/>
    <x v="4"/>
  </r>
  <r>
    <n v="20"/>
    <s v="Ashlan"/>
    <x v="1"/>
    <n v="13"/>
    <x v="1"/>
    <n v="41"/>
    <n v="6"/>
    <n v="17"/>
    <n v="3"/>
    <n v="67"/>
    <n v="16.75"/>
    <n v="16.75"/>
    <x v="0"/>
    <x v="1"/>
  </r>
  <r>
    <n v="21"/>
    <s v="Amery"/>
    <x v="1"/>
    <n v="13"/>
    <x v="2"/>
    <n v="76"/>
    <n v="96"/>
    <n v="67"/>
    <n v="17"/>
    <n v="256"/>
    <n v="64"/>
    <n v="64"/>
    <x v="0"/>
    <x v="4"/>
  </r>
  <r>
    <n v="22"/>
    <s v="Benoite"/>
    <x v="1"/>
    <n v="14"/>
    <x v="1"/>
    <n v="3"/>
    <n v="55"/>
    <n v="14"/>
    <n v="90"/>
    <n v="162"/>
    <n v="40.5"/>
    <n v="40.5"/>
    <x v="0"/>
    <x v="2"/>
  </r>
  <r>
    <n v="23"/>
    <s v="Merle"/>
    <x v="0"/>
    <n v="13"/>
    <x v="0"/>
    <n v="5"/>
    <n v="83"/>
    <n v="19"/>
    <n v="39"/>
    <n v="146"/>
    <n v="36.5"/>
    <n v="36.5"/>
    <x v="0"/>
    <x v="2"/>
  </r>
  <r>
    <n v="24"/>
    <s v="Valma"/>
    <x v="0"/>
    <n v="14"/>
    <x v="0"/>
    <n v="48"/>
    <n v="83"/>
    <n v="79"/>
    <n v="95"/>
    <n v="305"/>
    <n v="76.25"/>
    <n v="76.25"/>
    <x v="1"/>
    <x v="3"/>
  </r>
  <r>
    <n v="25"/>
    <s v="Jone"/>
    <x v="1"/>
    <n v="14"/>
    <x v="2"/>
    <n v="17"/>
    <n v="87"/>
    <n v="16"/>
    <n v="50"/>
    <n v="170"/>
    <n v="42.5"/>
    <n v="42.5"/>
    <x v="0"/>
    <x v="2"/>
  </r>
  <r>
    <n v="26"/>
    <s v="Rae"/>
    <x v="0"/>
    <n v="15"/>
    <x v="2"/>
    <n v="16"/>
    <n v="59"/>
    <n v="18"/>
    <n v="64"/>
    <n v="157"/>
    <n v="39.25"/>
    <n v="39.25"/>
    <x v="0"/>
    <x v="2"/>
  </r>
  <r>
    <n v="27"/>
    <s v="Charmine"/>
    <x v="0"/>
    <n v="14"/>
    <x v="2"/>
    <n v="93"/>
    <n v="93"/>
    <n v="83"/>
    <n v="40"/>
    <n v="309"/>
    <n v="77.25"/>
    <n v="77.25"/>
    <x v="1"/>
    <x v="3"/>
  </r>
  <r>
    <n v="28"/>
    <s v="Hanan"/>
    <x v="1"/>
    <n v="14"/>
    <x v="2"/>
    <n v="60"/>
    <n v="36"/>
    <n v="86"/>
    <n v="87"/>
    <n v="269"/>
    <n v="67.25"/>
    <n v="67.25"/>
    <x v="1"/>
    <x v="4"/>
  </r>
  <r>
    <n v="29"/>
    <s v="Adrian"/>
    <x v="1"/>
    <n v="13"/>
    <x v="0"/>
    <n v="19"/>
    <n v="8"/>
    <n v="76"/>
    <n v="75"/>
    <n v="178"/>
    <n v="44.5"/>
    <n v="44.5"/>
    <x v="0"/>
    <x v="2"/>
  </r>
  <r>
    <n v="30"/>
    <s v="Livia"/>
    <x v="1"/>
    <n v="13"/>
    <x v="0"/>
    <n v="95"/>
    <n v="65"/>
    <n v="25"/>
    <n v="91"/>
    <n v="276"/>
    <n v="69"/>
    <n v="69"/>
    <x v="0"/>
    <x v="4"/>
  </r>
  <r>
    <n v="31"/>
    <s v="Richie"/>
    <x v="0"/>
    <n v="15"/>
    <x v="1"/>
    <n v="14"/>
    <n v="83"/>
    <n v="9"/>
    <n v="90"/>
    <n v="196"/>
    <n v="49"/>
    <n v="49"/>
    <x v="0"/>
    <x v="2"/>
  </r>
  <r>
    <n v="32"/>
    <s v="Ekaterina"/>
    <x v="0"/>
    <n v="15"/>
    <x v="1"/>
    <n v="17"/>
    <n v="36"/>
    <n v="45"/>
    <n v="27"/>
    <n v="125"/>
    <n v="31.25"/>
    <n v="31.25"/>
    <x v="0"/>
    <x v="1"/>
  </r>
  <r>
    <n v="33"/>
    <s v="Tamra"/>
    <x v="0"/>
    <n v="14"/>
    <x v="0"/>
    <n v="17"/>
    <n v="74"/>
    <n v="11"/>
    <n v="49"/>
    <n v="151"/>
    <n v="37.75"/>
    <n v="37.75"/>
    <x v="0"/>
    <x v="2"/>
  </r>
  <r>
    <n v="34"/>
    <s v="Zarla"/>
    <x v="0"/>
    <n v="15"/>
    <x v="1"/>
    <n v="54"/>
    <n v="18"/>
    <n v="46"/>
    <n v="17"/>
    <n v="135"/>
    <n v="33.75"/>
    <n v="33.75"/>
    <x v="0"/>
    <x v="1"/>
  </r>
  <r>
    <n v="35"/>
    <s v="Tommy"/>
    <x v="0"/>
    <n v="13"/>
    <x v="1"/>
    <n v="5"/>
    <n v="75"/>
    <n v="13"/>
    <n v="61"/>
    <n v="154"/>
    <n v="38.5"/>
    <n v="38.5"/>
    <x v="0"/>
    <x v="2"/>
  </r>
  <r>
    <n v="36"/>
    <s v="Anna-diane"/>
    <x v="0"/>
    <n v="15"/>
    <x v="0"/>
    <n v="93"/>
    <n v="53"/>
    <n v="10"/>
    <n v="29"/>
    <n v="185"/>
    <n v="46.25"/>
    <n v="46.25"/>
    <x v="0"/>
    <x v="2"/>
  </r>
  <r>
    <n v="37"/>
    <s v="Josh"/>
    <x v="0"/>
    <n v="14"/>
    <x v="2"/>
    <n v="54"/>
    <n v="23"/>
    <n v="19"/>
    <n v="94"/>
    <n v="190"/>
    <n v="47.5"/>
    <n v="47.5"/>
    <x v="0"/>
    <x v="2"/>
  </r>
  <r>
    <n v="38"/>
    <s v="Claudina"/>
    <x v="1"/>
    <n v="14"/>
    <x v="0"/>
    <n v="90"/>
    <n v="62"/>
    <n v="45"/>
    <n v="21"/>
    <n v="218"/>
    <n v="54.5"/>
    <n v="54.500000000000007"/>
    <x v="0"/>
    <x v="0"/>
  </r>
  <r>
    <n v="39"/>
    <s v="Adah"/>
    <x v="0"/>
    <n v="13"/>
    <x v="2"/>
    <n v="71"/>
    <n v="90"/>
    <n v="78"/>
    <n v="35"/>
    <n v="274"/>
    <n v="68.5"/>
    <n v="68.5"/>
    <x v="1"/>
    <x v="4"/>
  </r>
  <r>
    <n v="40"/>
    <s v="Luelle"/>
    <x v="1"/>
    <n v="13"/>
    <x v="1"/>
    <n v="100"/>
    <n v="52"/>
    <n v="89"/>
    <n v="76"/>
    <n v="317"/>
    <n v="79.25"/>
    <n v="79.25"/>
    <x v="1"/>
    <x v="3"/>
  </r>
  <r>
    <n v="41"/>
    <s v="Johannes"/>
    <x v="0"/>
    <n v="15"/>
    <x v="0"/>
    <n v="10"/>
    <n v="78"/>
    <n v="56"/>
    <n v="41"/>
    <n v="185"/>
    <n v="46.25"/>
    <n v="46.25"/>
    <x v="0"/>
    <x v="2"/>
  </r>
  <r>
    <n v="42"/>
    <s v="Hetty"/>
    <x v="0"/>
    <n v="13"/>
    <x v="1"/>
    <n v="21"/>
    <n v="89"/>
    <n v="72"/>
    <n v="84"/>
    <n v="266"/>
    <n v="66.5"/>
    <n v="66.5"/>
    <x v="0"/>
    <x v="4"/>
  </r>
  <r>
    <n v="43"/>
    <s v="Brandie"/>
    <x v="1"/>
    <n v="15"/>
    <x v="1"/>
    <n v="43"/>
    <n v="2"/>
    <n v="17"/>
    <n v="78"/>
    <n v="140"/>
    <n v="35"/>
    <n v="35"/>
    <x v="0"/>
    <x v="2"/>
  </r>
  <r>
    <n v="44"/>
    <s v="Arvie"/>
    <x v="0"/>
    <n v="15"/>
    <x v="1"/>
    <n v="26"/>
    <n v="46"/>
    <n v="81"/>
    <n v="63"/>
    <n v="216"/>
    <n v="54"/>
    <n v="54"/>
    <x v="0"/>
    <x v="0"/>
  </r>
  <r>
    <n v="45"/>
    <s v="Jacenta"/>
    <x v="1"/>
    <n v="15"/>
    <x v="0"/>
    <n v="65"/>
    <n v="7"/>
    <n v="57"/>
    <n v="27"/>
    <n v="156"/>
    <n v="39"/>
    <n v="39"/>
    <x v="0"/>
    <x v="2"/>
  </r>
  <r>
    <n v="46"/>
    <s v="Teddy"/>
    <x v="1"/>
    <n v="14"/>
    <x v="2"/>
    <n v="50"/>
    <n v="22"/>
    <n v="50"/>
    <n v="78"/>
    <n v="200"/>
    <n v="50"/>
    <n v="50"/>
    <x v="0"/>
    <x v="0"/>
  </r>
  <r>
    <n v="47"/>
    <s v="Everett"/>
    <x v="0"/>
    <n v="14"/>
    <x v="2"/>
    <n v="84"/>
    <n v="57"/>
    <n v="25"/>
    <n v="57"/>
    <n v="223"/>
    <n v="55.75"/>
    <n v="55.75"/>
    <x v="0"/>
    <x v="0"/>
  </r>
  <r>
    <n v="48"/>
    <s v="Lyda"/>
    <x v="0"/>
    <n v="15"/>
    <x v="0"/>
    <n v="78"/>
    <n v="58"/>
    <n v="1"/>
    <n v="33"/>
    <n v="170"/>
    <n v="42.5"/>
    <n v="42.5"/>
    <x v="0"/>
    <x v="2"/>
  </r>
  <r>
    <n v="49"/>
    <s v="Vinny"/>
    <x v="1"/>
    <n v="13"/>
    <x v="1"/>
    <n v="81"/>
    <n v="25"/>
    <n v="99"/>
    <n v="13"/>
    <n v="218"/>
    <n v="54.5"/>
    <n v="54.500000000000007"/>
    <x v="0"/>
    <x v="0"/>
  </r>
  <r>
    <n v="50"/>
    <s v="Karrie"/>
    <x v="1"/>
    <n v="14"/>
    <x v="2"/>
    <n v="94"/>
    <n v="15"/>
    <n v="66"/>
    <n v="34"/>
    <n v="209"/>
    <n v="52.25"/>
    <n v="52.25"/>
    <x v="0"/>
    <x v="0"/>
  </r>
  <r>
    <n v="51"/>
    <s v="Skipp"/>
    <x v="1"/>
    <n v="14"/>
    <x v="0"/>
    <n v="31"/>
    <n v="37"/>
    <n v="77"/>
    <n v="79"/>
    <n v="224"/>
    <n v="56"/>
    <n v="56.000000000000007"/>
    <x v="0"/>
    <x v="0"/>
  </r>
  <r>
    <n v="52"/>
    <s v="Rollie"/>
    <x v="0"/>
    <n v="13"/>
    <x v="2"/>
    <n v="17"/>
    <n v="99"/>
    <n v="29"/>
    <n v="85"/>
    <n v="230"/>
    <n v="57.5"/>
    <n v="57.499999999999993"/>
    <x v="0"/>
    <x v="0"/>
  </r>
  <r>
    <n v="53"/>
    <s v="Ruben"/>
    <x v="0"/>
    <n v="15"/>
    <x v="1"/>
    <n v="15"/>
    <n v="84"/>
    <n v="40"/>
    <n v="40"/>
    <n v="179"/>
    <n v="44.75"/>
    <n v="44.75"/>
    <x v="0"/>
    <x v="2"/>
  </r>
  <r>
    <n v="54"/>
    <s v="Tabbie"/>
    <x v="1"/>
    <n v="15"/>
    <x v="0"/>
    <n v="23"/>
    <n v="44"/>
    <n v="76"/>
    <n v="46"/>
    <n v="189"/>
    <n v="47.25"/>
    <n v="47.25"/>
    <x v="0"/>
    <x v="2"/>
  </r>
  <r>
    <n v="55"/>
    <s v="Lief"/>
    <x v="1"/>
    <n v="15"/>
    <x v="1"/>
    <n v="55"/>
    <n v="64"/>
    <n v="56"/>
    <n v="69"/>
    <n v="244"/>
    <n v="61"/>
    <n v="61"/>
    <x v="1"/>
    <x v="4"/>
  </r>
  <r>
    <n v="56"/>
    <s v="Olenka"/>
    <x v="0"/>
    <n v="14"/>
    <x v="1"/>
    <n v="53"/>
    <n v="53"/>
    <n v="49"/>
    <n v="43"/>
    <n v="198"/>
    <n v="49.5"/>
    <n v="49.5"/>
    <x v="1"/>
    <x v="2"/>
  </r>
  <r>
    <n v="57"/>
    <s v="Hinze"/>
    <x v="1"/>
    <n v="15"/>
    <x v="2"/>
    <n v="46"/>
    <n v="37"/>
    <n v="63"/>
    <n v="17"/>
    <n v="163"/>
    <n v="40.75"/>
    <n v="40.75"/>
    <x v="0"/>
    <x v="2"/>
  </r>
  <r>
    <n v="58"/>
    <s v="Issie"/>
    <x v="1"/>
    <n v="14"/>
    <x v="2"/>
    <n v="64"/>
    <n v="1"/>
    <n v="74"/>
    <n v="6"/>
    <n v="145"/>
    <n v="36.25"/>
    <n v="36.25"/>
    <x v="0"/>
    <x v="2"/>
  </r>
  <r>
    <n v="59"/>
    <s v="Yardley"/>
    <x v="0"/>
    <n v="14"/>
    <x v="0"/>
    <n v="41"/>
    <n v="37"/>
    <n v="26"/>
    <n v="65"/>
    <n v="169"/>
    <n v="42.25"/>
    <n v="42.25"/>
    <x v="0"/>
    <x v="2"/>
  </r>
  <r>
    <n v="60"/>
    <s v="Winslow"/>
    <x v="0"/>
    <n v="14"/>
    <x v="1"/>
    <n v="61"/>
    <n v="71"/>
    <n v="77"/>
    <n v="64"/>
    <n v="273"/>
    <n v="68.25"/>
    <n v="68.25"/>
    <x v="1"/>
    <x v="4"/>
  </r>
  <r>
    <n v="61"/>
    <s v="Bobbee"/>
    <x v="0"/>
    <n v="14"/>
    <x v="0"/>
    <n v="16"/>
    <n v="57"/>
    <n v="90"/>
    <n v="14"/>
    <n v="177"/>
    <n v="44.25"/>
    <n v="44.25"/>
    <x v="0"/>
    <x v="2"/>
  </r>
  <r>
    <n v="62"/>
    <s v="Fanny"/>
    <x v="0"/>
    <n v="13"/>
    <x v="0"/>
    <n v="49"/>
    <n v="90"/>
    <n v="13"/>
    <n v="98"/>
    <n v="250"/>
    <n v="62.5"/>
    <n v="62.5"/>
    <x v="0"/>
    <x v="4"/>
  </r>
  <r>
    <n v="63"/>
    <s v="Massimiliano"/>
    <x v="1"/>
    <n v="14"/>
    <x v="2"/>
    <n v="16"/>
    <n v="45"/>
    <n v="44"/>
    <n v="5"/>
    <n v="110"/>
    <n v="27.5"/>
    <n v="27.500000000000004"/>
    <x v="0"/>
    <x v="1"/>
  </r>
  <r>
    <n v="64"/>
    <s v="Shannon"/>
    <x v="1"/>
    <n v="15"/>
    <x v="1"/>
    <n v="78"/>
    <n v="74"/>
    <n v="31"/>
    <n v="85"/>
    <n v="268"/>
    <n v="67"/>
    <n v="67"/>
    <x v="0"/>
    <x v="4"/>
  </r>
  <r>
    <n v="65"/>
    <s v="Mufi"/>
    <x v="0"/>
    <n v="14"/>
    <x v="0"/>
    <n v="88"/>
    <n v="72"/>
    <n v="31"/>
    <n v="27"/>
    <n v="218"/>
    <n v="54.5"/>
    <n v="54.500000000000007"/>
    <x v="0"/>
    <x v="0"/>
  </r>
  <r>
    <n v="66"/>
    <s v="Christan"/>
    <x v="0"/>
    <n v="14"/>
    <x v="0"/>
    <n v="85"/>
    <n v="6"/>
    <n v="10"/>
    <n v="85"/>
    <n v="186"/>
    <n v="46.5"/>
    <n v="46.5"/>
    <x v="0"/>
    <x v="2"/>
  </r>
  <r>
    <n v="67"/>
    <s v="Orrin"/>
    <x v="0"/>
    <n v="15"/>
    <x v="0"/>
    <n v="45"/>
    <n v="41"/>
    <n v="26"/>
    <n v="12"/>
    <n v="124"/>
    <n v="31"/>
    <n v="31"/>
    <x v="0"/>
    <x v="1"/>
  </r>
  <r>
    <n v="68"/>
    <s v="Drusi"/>
    <x v="1"/>
    <n v="15"/>
    <x v="0"/>
    <n v="39"/>
    <n v="7"/>
    <n v="100"/>
    <n v="70"/>
    <n v="216"/>
    <n v="54"/>
    <n v="54"/>
    <x v="0"/>
    <x v="0"/>
  </r>
  <r>
    <n v="69"/>
    <s v="Nil"/>
    <x v="0"/>
    <n v="15"/>
    <x v="2"/>
    <n v="84"/>
    <n v="97"/>
    <n v="70"/>
    <n v="96"/>
    <n v="347"/>
    <n v="86.75"/>
    <n v="86.75"/>
    <x v="1"/>
    <x v="3"/>
  </r>
  <r>
    <n v="70"/>
    <s v="Jessamine"/>
    <x v="0"/>
    <n v="14"/>
    <x v="1"/>
    <n v="34"/>
    <n v="71"/>
    <n v="35"/>
    <n v="47"/>
    <n v="187"/>
    <n v="46.75"/>
    <n v="46.75"/>
    <x v="0"/>
    <x v="2"/>
  </r>
  <r>
    <n v="71"/>
    <s v="Bil"/>
    <x v="0"/>
    <n v="15"/>
    <x v="0"/>
    <n v="95"/>
    <n v="32"/>
    <n v="91"/>
    <n v="48"/>
    <n v="266"/>
    <n v="66.5"/>
    <n v="66.5"/>
    <x v="0"/>
    <x v="4"/>
  </r>
  <r>
    <n v="72"/>
    <s v="Jaymie"/>
    <x v="1"/>
    <n v="14"/>
    <x v="0"/>
    <n v="48"/>
    <n v="59"/>
    <n v="60"/>
    <n v="58"/>
    <n v="225"/>
    <n v="56.25"/>
    <n v="56.25"/>
    <x v="1"/>
    <x v="0"/>
  </r>
  <r>
    <n v="73"/>
    <s v="Lorrie"/>
    <x v="1"/>
    <n v="13"/>
    <x v="2"/>
    <n v="72"/>
    <n v="78"/>
    <n v="40"/>
    <n v="78"/>
    <n v="268"/>
    <n v="67"/>
    <n v="67"/>
    <x v="1"/>
    <x v="4"/>
  </r>
  <r>
    <n v="74"/>
    <s v="Bethena"/>
    <x v="1"/>
    <n v="13"/>
    <x v="1"/>
    <n v="46"/>
    <n v="89"/>
    <n v="83"/>
    <n v="64"/>
    <n v="282"/>
    <n v="70.5"/>
    <n v="70.5"/>
    <x v="1"/>
    <x v="4"/>
  </r>
  <r>
    <n v="75"/>
    <s v="Sascha"/>
    <x v="0"/>
    <n v="13"/>
    <x v="1"/>
    <n v="85"/>
    <n v="10"/>
    <n v="62"/>
    <n v="62"/>
    <n v="219"/>
    <n v="54.75"/>
    <n v="54.75"/>
    <x v="0"/>
    <x v="0"/>
  </r>
  <r>
    <n v="76"/>
    <s v="Cherie"/>
    <x v="1"/>
    <n v="15"/>
    <x v="0"/>
    <n v="32"/>
    <n v="31"/>
    <n v="89"/>
    <n v="30"/>
    <n v="182"/>
    <n v="45.5"/>
    <n v="45.5"/>
    <x v="0"/>
    <x v="2"/>
  </r>
  <r>
    <n v="77"/>
    <s v="David"/>
    <x v="0"/>
    <n v="13"/>
    <x v="1"/>
    <n v="27"/>
    <n v="2"/>
    <n v="63"/>
    <n v="100"/>
    <n v="192"/>
    <n v="48"/>
    <n v="48"/>
    <x v="0"/>
    <x v="2"/>
  </r>
  <r>
    <n v="78"/>
    <s v="Jody"/>
    <x v="1"/>
    <n v="15"/>
    <x v="1"/>
    <n v="87"/>
    <n v="45"/>
    <n v="73"/>
    <n v="48"/>
    <n v="253"/>
    <n v="63.25"/>
    <n v="63.249999999999993"/>
    <x v="1"/>
    <x v="4"/>
  </r>
  <r>
    <n v="79"/>
    <s v="Rosalynd"/>
    <x v="1"/>
    <n v="13"/>
    <x v="0"/>
    <n v="27"/>
    <n v="96"/>
    <n v="89"/>
    <n v="49"/>
    <n v="261"/>
    <n v="65.25"/>
    <n v="65.25"/>
    <x v="0"/>
    <x v="4"/>
  </r>
  <r>
    <n v="80"/>
    <s v="Elton"/>
    <x v="1"/>
    <n v="13"/>
    <x v="1"/>
    <n v="13"/>
    <n v="18"/>
    <n v="80"/>
    <n v="82"/>
    <n v="193"/>
    <n v="48.25"/>
    <n v="48.25"/>
    <x v="0"/>
    <x v="2"/>
  </r>
  <r>
    <n v="81"/>
    <s v="Teresita"/>
    <x v="1"/>
    <n v="15"/>
    <x v="2"/>
    <n v="1"/>
    <n v="90"/>
    <n v="42"/>
    <n v="94"/>
    <n v="227"/>
    <n v="56.75"/>
    <n v="56.75"/>
    <x v="0"/>
    <x v="0"/>
  </r>
  <r>
    <n v="82"/>
    <s v="Dannel"/>
    <x v="1"/>
    <n v="15"/>
    <x v="0"/>
    <n v="84"/>
    <n v="85"/>
    <n v="14"/>
    <n v="24"/>
    <n v="207"/>
    <n v="51.75"/>
    <n v="51.749999999999993"/>
    <x v="0"/>
    <x v="0"/>
  </r>
  <r>
    <n v="83"/>
    <s v="Amabel"/>
    <x v="1"/>
    <n v="14"/>
    <x v="2"/>
    <n v="59"/>
    <n v="12"/>
    <n v="45"/>
    <n v="64"/>
    <n v="180"/>
    <n v="45"/>
    <n v="45"/>
    <x v="0"/>
    <x v="2"/>
  </r>
  <r>
    <n v="84"/>
    <s v="Eugine"/>
    <x v="1"/>
    <n v="13"/>
    <x v="0"/>
    <n v="34"/>
    <n v="18"/>
    <n v="39"/>
    <n v="94"/>
    <n v="185"/>
    <n v="46.25"/>
    <n v="46.25"/>
    <x v="0"/>
    <x v="2"/>
  </r>
  <r>
    <n v="85"/>
    <s v="Brien"/>
    <x v="0"/>
    <n v="13"/>
    <x v="0"/>
    <n v="36"/>
    <n v="95"/>
    <n v="55"/>
    <n v="46"/>
    <n v="232"/>
    <n v="58"/>
    <n v="57.999999999999993"/>
    <x v="1"/>
    <x v="0"/>
  </r>
  <r>
    <n v="86"/>
    <s v="Agace"/>
    <x v="1"/>
    <n v="15"/>
    <x v="0"/>
    <n v="17"/>
    <n v="75"/>
    <n v="8"/>
    <n v="71"/>
    <n v="171"/>
    <n v="42.75"/>
    <n v="42.75"/>
    <x v="0"/>
    <x v="2"/>
  </r>
  <r>
    <n v="87"/>
    <s v="Aubrey"/>
    <x v="0"/>
    <n v="13"/>
    <x v="2"/>
    <n v="8"/>
    <n v="72"/>
    <n v="78"/>
    <n v="14"/>
    <n v="172"/>
    <n v="43"/>
    <n v="43"/>
    <x v="0"/>
    <x v="2"/>
  </r>
  <r>
    <n v="88"/>
    <s v="Sheffie"/>
    <x v="0"/>
    <n v="15"/>
    <x v="0"/>
    <n v="44"/>
    <n v="55"/>
    <n v="51"/>
    <n v="100"/>
    <n v="250"/>
    <n v="62.5"/>
    <n v="62.5"/>
    <x v="1"/>
    <x v="4"/>
  </r>
  <r>
    <n v="89"/>
    <s v="Ranee"/>
    <x v="0"/>
    <n v="15"/>
    <x v="2"/>
    <n v="58"/>
    <n v="16"/>
    <n v="64"/>
    <n v="67"/>
    <n v="205"/>
    <n v="51.25"/>
    <n v="51.249999999999993"/>
    <x v="0"/>
    <x v="0"/>
  </r>
  <r>
    <n v="90"/>
    <s v="Cobby"/>
    <x v="1"/>
    <n v="15"/>
    <x v="0"/>
    <n v="64"/>
    <n v="20"/>
    <n v="86"/>
    <n v="84"/>
    <n v="254"/>
    <n v="63.5"/>
    <n v="63.5"/>
    <x v="0"/>
    <x v="4"/>
  </r>
  <r>
    <n v="91"/>
    <s v="Linn"/>
    <x v="1"/>
    <n v="13"/>
    <x v="0"/>
    <n v="23"/>
    <n v="2"/>
    <n v="42"/>
    <n v="43"/>
    <n v="110"/>
    <n v="27.5"/>
    <n v="27.500000000000004"/>
    <x v="0"/>
    <x v="1"/>
  </r>
  <r>
    <n v="92"/>
    <s v="Daffi"/>
    <x v="0"/>
    <n v="15"/>
    <x v="2"/>
    <n v="79"/>
    <n v="82"/>
    <n v="99"/>
    <n v="81"/>
    <n v="341"/>
    <n v="85.25"/>
    <n v="85.25"/>
    <x v="1"/>
    <x v="3"/>
  </r>
  <r>
    <n v="93"/>
    <s v="Morganne"/>
    <x v="0"/>
    <n v="15"/>
    <x v="2"/>
    <n v="22"/>
    <n v="86"/>
    <n v="9"/>
    <n v="38"/>
    <n v="155"/>
    <n v="38.75"/>
    <n v="38.75"/>
    <x v="0"/>
    <x v="2"/>
  </r>
  <r>
    <n v="94"/>
    <s v="Dael"/>
    <x v="0"/>
    <n v="13"/>
    <x v="2"/>
    <n v="43"/>
    <n v="65"/>
    <n v="18"/>
    <n v="26"/>
    <n v="152"/>
    <n v="38"/>
    <n v="38"/>
    <x v="0"/>
    <x v="2"/>
  </r>
  <r>
    <n v="95"/>
    <s v="Ario"/>
    <x v="1"/>
    <n v="14"/>
    <x v="2"/>
    <n v="64"/>
    <n v="18"/>
    <n v="73"/>
    <n v="37"/>
    <n v="192"/>
    <n v="48"/>
    <n v="48"/>
    <x v="0"/>
    <x v="2"/>
  </r>
  <r>
    <n v="96"/>
    <s v="Georgia"/>
    <x v="0"/>
    <n v="15"/>
    <x v="2"/>
    <n v="58"/>
    <n v="10"/>
    <n v="99"/>
    <n v="44"/>
    <n v="211"/>
    <n v="52.75"/>
    <n v="52.75"/>
    <x v="0"/>
    <x v="0"/>
  </r>
  <r>
    <n v="97"/>
    <s v="Adolphus"/>
    <x v="1"/>
    <n v="13"/>
    <x v="2"/>
    <n v="19"/>
    <n v="98"/>
    <n v="13"/>
    <n v="86"/>
    <n v="216"/>
    <n v="54"/>
    <n v="54"/>
    <x v="0"/>
    <x v="0"/>
  </r>
  <r>
    <n v="98"/>
    <s v="Silvia"/>
    <x v="1"/>
    <n v="14"/>
    <x v="2"/>
    <n v="40"/>
    <n v="61"/>
    <n v="63"/>
    <n v="80"/>
    <n v="244"/>
    <n v="61"/>
    <n v="61"/>
    <x v="1"/>
    <x v="4"/>
  </r>
  <r>
    <n v="99"/>
    <s v="Brendin"/>
    <x v="1"/>
    <n v="14"/>
    <x v="0"/>
    <n v="72"/>
    <n v="51"/>
    <n v="50"/>
    <n v="11"/>
    <n v="184"/>
    <n v="46"/>
    <n v="46"/>
    <x v="0"/>
    <x v="2"/>
  </r>
  <r>
    <n v="100"/>
    <s v="Loella"/>
    <x v="0"/>
    <n v="15"/>
    <x v="2"/>
    <n v="66"/>
    <n v="20"/>
    <n v="76"/>
    <n v="30"/>
    <n v="192"/>
    <n v="48"/>
    <n v="48"/>
    <x v="0"/>
    <x v="2"/>
  </r>
  <r>
    <n v="101"/>
    <s v="Hildegaard"/>
    <x v="1"/>
    <n v="14"/>
    <x v="2"/>
    <n v="64"/>
    <n v="68"/>
    <n v="89"/>
    <n v="43"/>
    <n v="264"/>
    <n v="66"/>
    <n v="66"/>
    <x v="1"/>
    <x v="4"/>
  </r>
  <r>
    <n v="102"/>
    <s v="Alvin"/>
    <x v="0"/>
    <n v="13"/>
    <x v="1"/>
    <n v="80"/>
    <n v="28"/>
    <n v="53"/>
    <n v="67"/>
    <n v="228"/>
    <n v="57"/>
    <n v="56.999999999999993"/>
    <x v="0"/>
    <x v="0"/>
  </r>
  <r>
    <n v="103"/>
    <s v="Christoph"/>
    <x v="0"/>
    <n v="13"/>
    <x v="0"/>
    <n v="2"/>
    <n v="19"/>
    <n v="48"/>
    <n v="52"/>
    <n v="121"/>
    <n v="30.25"/>
    <n v="30.25"/>
    <x v="0"/>
    <x v="1"/>
  </r>
  <r>
    <n v="104"/>
    <s v="Woodie"/>
    <x v="1"/>
    <n v="15"/>
    <x v="2"/>
    <n v="37"/>
    <n v="57"/>
    <n v="48"/>
    <n v="75"/>
    <n v="217"/>
    <n v="54.25"/>
    <n v="54.25"/>
    <x v="1"/>
    <x v="0"/>
  </r>
  <r>
    <n v="105"/>
    <s v="Jeannie"/>
    <x v="1"/>
    <n v="13"/>
    <x v="1"/>
    <n v="68"/>
    <n v="97"/>
    <n v="31"/>
    <n v="48"/>
    <n v="244"/>
    <n v="61"/>
    <n v="61"/>
    <x v="0"/>
    <x v="4"/>
  </r>
  <r>
    <n v="106"/>
    <s v="Jocelyne"/>
    <x v="0"/>
    <n v="14"/>
    <x v="0"/>
    <n v="62"/>
    <n v="4"/>
    <n v="75"/>
    <n v="32"/>
    <n v="173"/>
    <n v="43.25"/>
    <n v="43.25"/>
    <x v="0"/>
    <x v="2"/>
  </r>
  <r>
    <n v="107"/>
    <s v="Rina"/>
    <x v="0"/>
    <n v="14"/>
    <x v="0"/>
    <n v="57"/>
    <n v="68"/>
    <n v="13"/>
    <n v="74"/>
    <n v="212"/>
    <n v="53"/>
    <n v="53"/>
    <x v="0"/>
    <x v="0"/>
  </r>
  <r>
    <n v="108"/>
    <s v="Virgie"/>
    <x v="0"/>
    <n v="14"/>
    <x v="1"/>
    <n v="56"/>
    <n v="75"/>
    <n v="5"/>
    <n v="40"/>
    <n v="176"/>
    <n v="44"/>
    <n v="44"/>
    <x v="0"/>
    <x v="2"/>
  </r>
  <r>
    <n v="109"/>
    <s v="Vaughn"/>
    <x v="1"/>
    <n v="14"/>
    <x v="0"/>
    <n v="11"/>
    <n v="30"/>
    <n v="83"/>
    <n v="17"/>
    <n v="141"/>
    <n v="35.25"/>
    <n v="35.25"/>
    <x v="0"/>
    <x v="2"/>
  </r>
  <r>
    <n v="110"/>
    <s v="Cherry"/>
    <x v="0"/>
    <n v="14"/>
    <x v="1"/>
    <n v="82"/>
    <n v="54"/>
    <n v="31"/>
    <n v="18"/>
    <n v="185"/>
    <n v="46.25"/>
    <n v="46.25"/>
    <x v="0"/>
    <x v="2"/>
  </r>
  <r>
    <n v="111"/>
    <s v="Abel"/>
    <x v="1"/>
    <n v="13"/>
    <x v="2"/>
    <n v="2"/>
    <n v="39"/>
    <n v="13"/>
    <n v="69"/>
    <n v="123"/>
    <n v="30.75"/>
    <n v="30.75"/>
    <x v="0"/>
    <x v="1"/>
  </r>
  <r>
    <n v="112"/>
    <s v="Matt"/>
    <x v="0"/>
    <n v="15"/>
    <x v="2"/>
    <n v="23"/>
    <n v="65"/>
    <n v="72"/>
    <n v="51"/>
    <n v="211"/>
    <n v="52.75"/>
    <n v="52.75"/>
    <x v="0"/>
    <x v="0"/>
  </r>
  <r>
    <n v="113"/>
    <s v="Josefa"/>
    <x v="1"/>
    <n v="13"/>
    <x v="0"/>
    <n v="22"/>
    <n v="78"/>
    <n v="77"/>
    <n v="26"/>
    <n v="203"/>
    <n v="50.75"/>
    <n v="50.749999999999993"/>
    <x v="0"/>
    <x v="0"/>
  </r>
  <r>
    <n v="114"/>
    <s v="Coretta"/>
    <x v="1"/>
    <n v="14"/>
    <x v="2"/>
    <n v="41"/>
    <n v="52"/>
    <n v="29"/>
    <n v="21"/>
    <n v="143"/>
    <n v="35.75"/>
    <n v="35.75"/>
    <x v="0"/>
    <x v="2"/>
  </r>
  <r>
    <n v="115"/>
    <s v="Chris"/>
    <x v="0"/>
    <n v="13"/>
    <x v="0"/>
    <n v="23"/>
    <n v="13"/>
    <n v="28"/>
    <n v="69"/>
    <n v="133"/>
    <n v="33.25"/>
    <n v="33.25"/>
    <x v="0"/>
    <x v="1"/>
  </r>
  <r>
    <n v="116"/>
    <s v="Shanie"/>
    <x v="1"/>
    <n v="14"/>
    <x v="2"/>
    <n v="80"/>
    <n v="92"/>
    <n v="53"/>
    <n v="30"/>
    <n v="255"/>
    <n v="63.75"/>
    <n v="63.749999999999993"/>
    <x v="0"/>
    <x v="4"/>
  </r>
  <r>
    <n v="117"/>
    <s v="Kath"/>
    <x v="1"/>
    <n v="14"/>
    <x v="2"/>
    <n v="63"/>
    <n v="74"/>
    <n v="46"/>
    <n v="76"/>
    <n v="259"/>
    <n v="64.75"/>
    <n v="64.75"/>
    <x v="1"/>
    <x v="4"/>
  </r>
  <r>
    <n v="118"/>
    <s v="Bent"/>
    <x v="0"/>
    <n v="14"/>
    <x v="1"/>
    <n v="90"/>
    <n v="22"/>
    <n v="2"/>
    <n v="12"/>
    <n v="126"/>
    <n v="31.5"/>
    <n v="31.5"/>
    <x v="0"/>
    <x v="1"/>
  </r>
  <r>
    <n v="119"/>
    <s v="Aretha"/>
    <x v="0"/>
    <n v="13"/>
    <x v="0"/>
    <n v="2"/>
    <n v="60"/>
    <n v="67"/>
    <n v="29"/>
    <n v="158"/>
    <n v="39.5"/>
    <n v="39.5"/>
    <x v="0"/>
    <x v="2"/>
  </r>
  <r>
    <n v="120"/>
    <s v="Alyse"/>
    <x v="1"/>
    <n v="14"/>
    <x v="2"/>
    <n v="80"/>
    <n v="34"/>
    <n v="85"/>
    <n v="71"/>
    <n v="270"/>
    <n v="67.5"/>
    <n v="67.5"/>
    <x v="0"/>
    <x v="4"/>
  </r>
  <r>
    <n v="121"/>
    <s v="Patrizia"/>
    <x v="1"/>
    <n v="13"/>
    <x v="2"/>
    <n v="79"/>
    <n v="88"/>
    <n v="96"/>
    <n v="93"/>
    <n v="356"/>
    <n v="89"/>
    <n v="89"/>
    <x v="1"/>
    <x v="3"/>
  </r>
  <r>
    <n v="122"/>
    <s v="Gloria"/>
    <x v="1"/>
    <n v="14"/>
    <x v="0"/>
    <n v="4"/>
    <n v="37"/>
    <n v="50"/>
    <n v="47"/>
    <n v="138"/>
    <n v="34.5"/>
    <n v="34.5"/>
    <x v="0"/>
    <x v="1"/>
  </r>
  <r>
    <n v="123"/>
    <s v="Brandise"/>
    <x v="1"/>
    <n v="13"/>
    <x v="2"/>
    <n v="18"/>
    <n v="100"/>
    <n v="39"/>
    <n v="8"/>
    <n v="165"/>
    <n v="41.25"/>
    <n v="41.25"/>
    <x v="0"/>
    <x v="2"/>
  </r>
  <r>
    <n v="124"/>
    <s v="Orin"/>
    <x v="0"/>
    <n v="15"/>
    <x v="1"/>
    <n v="70"/>
    <n v="75"/>
    <n v="21"/>
    <n v="99"/>
    <n v="265"/>
    <n v="66.25"/>
    <n v="66.25"/>
    <x v="0"/>
    <x v="4"/>
  </r>
  <r>
    <n v="125"/>
    <s v="Fredric"/>
    <x v="1"/>
    <n v="14"/>
    <x v="1"/>
    <n v="68"/>
    <n v="20"/>
    <n v="21"/>
    <n v="81"/>
    <n v="190"/>
    <n v="47.5"/>
    <n v="47.5"/>
    <x v="0"/>
    <x v="2"/>
  </r>
  <r>
    <n v="126"/>
    <s v="Pat"/>
    <x v="1"/>
    <n v="15"/>
    <x v="2"/>
    <n v="29"/>
    <n v="6"/>
    <n v="43"/>
    <n v="85"/>
    <n v="163"/>
    <n v="40.75"/>
    <n v="40.75"/>
    <x v="0"/>
    <x v="2"/>
  </r>
  <r>
    <n v="127"/>
    <s v="Bennie"/>
    <x v="1"/>
    <n v="14"/>
    <x v="1"/>
    <n v="76"/>
    <n v="36"/>
    <n v="32"/>
    <n v="47"/>
    <n v="191"/>
    <n v="47.75"/>
    <n v="47.75"/>
    <x v="0"/>
    <x v="2"/>
  </r>
  <r>
    <n v="128"/>
    <s v="Starlin"/>
    <x v="0"/>
    <n v="14"/>
    <x v="0"/>
    <n v="3"/>
    <n v="31"/>
    <n v="34"/>
    <n v="45"/>
    <n v="113"/>
    <n v="28.25"/>
    <n v="28.249999999999996"/>
    <x v="0"/>
    <x v="1"/>
  </r>
  <r>
    <n v="129"/>
    <s v="Susy"/>
    <x v="0"/>
    <n v="15"/>
    <x v="1"/>
    <n v="28"/>
    <n v="94"/>
    <n v="61"/>
    <n v="72"/>
    <n v="255"/>
    <n v="63.75"/>
    <n v="63.749999999999993"/>
    <x v="0"/>
    <x v="4"/>
  </r>
  <r>
    <n v="130"/>
    <s v="Eadmund"/>
    <x v="0"/>
    <n v="13"/>
    <x v="2"/>
    <n v="23"/>
    <n v="88"/>
    <n v="90"/>
    <n v="68"/>
    <n v="269"/>
    <n v="67.25"/>
    <n v="67.25"/>
    <x v="0"/>
    <x v="4"/>
  </r>
  <r>
    <n v="131"/>
    <s v="Blisse"/>
    <x v="0"/>
    <n v="15"/>
    <x v="1"/>
    <n v="85"/>
    <n v="30"/>
    <n v="50"/>
    <n v="2"/>
    <n v="167"/>
    <n v="41.75"/>
    <n v="41.75"/>
    <x v="0"/>
    <x v="2"/>
  </r>
  <r>
    <n v="132"/>
    <s v="Tymothy"/>
    <x v="1"/>
    <n v="13"/>
    <x v="0"/>
    <n v="13"/>
    <n v="73"/>
    <n v="76"/>
    <n v="95"/>
    <n v="257"/>
    <n v="64.25"/>
    <n v="64.25"/>
    <x v="0"/>
    <x v="4"/>
  </r>
  <r>
    <n v="133"/>
    <s v="Lindsay"/>
    <x v="1"/>
    <n v="15"/>
    <x v="2"/>
    <n v="19"/>
    <n v="14"/>
    <n v="43"/>
    <n v="68"/>
    <n v="144"/>
    <n v="36"/>
    <n v="36"/>
    <x v="0"/>
    <x v="2"/>
  </r>
  <r>
    <n v="134"/>
    <s v="Jehanna"/>
    <x v="0"/>
    <n v="15"/>
    <x v="0"/>
    <n v="77"/>
    <n v="25"/>
    <n v="85"/>
    <n v="26"/>
    <n v="213"/>
    <n v="53.25"/>
    <n v="53.25"/>
    <x v="0"/>
    <x v="0"/>
  </r>
  <r>
    <n v="135"/>
    <s v="Humfrid"/>
    <x v="0"/>
    <n v="13"/>
    <x v="1"/>
    <n v="96"/>
    <n v="100"/>
    <n v="42"/>
    <n v="62"/>
    <n v="300"/>
    <n v="75"/>
    <n v="75"/>
    <x v="1"/>
    <x v="3"/>
  </r>
  <r>
    <n v="136"/>
    <s v="Hector"/>
    <x v="0"/>
    <n v="13"/>
    <x v="0"/>
    <n v="5"/>
    <n v="10"/>
    <n v="75"/>
    <n v="38"/>
    <n v="128"/>
    <n v="32"/>
    <n v="32"/>
    <x v="0"/>
    <x v="1"/>
  </r>
  <r>
    <n v="137"/>
    <s v="Ailene"/>
    <x v="0"/>
    <n v="15"/>
    <x v="0"/>
    <n v="52"/>
    <n v="39"/>
    <n v="37"/>
    <n v="3"/>
    <n v="131"/>
    <n v="32.75"/>
    <n v="32.75"/>
    <x v="0"/>
    <x v="1"/>
  </r>
  <r>
    <n v="138"/>
    <s v="Berget"/>
    <x v="1"/>
    <n v="13"/>
    <x v="0"/>
    <n v="10"/>
    <n v="29"/>
    <n v="21"/>
    <n v="13"/>
    <n v="73"/>
    <n v="18.25"/>
    <n v="18.25"/>
    <x v="0"/>
    <x v="1"/>
  </r>
  <r>
    <n v="139"/>
    <s v="Bevan"/>
    <x v="1"/>
    <n v="13"/>
    <x v="1"/>
    <n v="52"/>
    <n v="62"/>
    <n v="44"/>
    <n v="10"/>
    <n v="168"/>
    <n v="42"/>
    <n v="42"/>
    <x v="0"/>
    <x v="2"/>
  </r>
  <r>
    <n v="140"/>
    <s v="Ricky"/>
    <x v="0"/>
    <n v="13"/>
    <x v="1"/>
    <n v="21"/>
    <n v="65"/>
    <n v="90"/>
    <n v="4"/>
    <n v="180"/>
    <n v="45"/>
    <n v="45"/>
    <x v="0"/>
    <x v="2"/>
  </r>
  <r>
    <n v="141"/>
    <s v="Isidora"/>
    <x v="1"/>
    <n v="15"/>
    <x v="0"/>
    <n v="52"/>
    <n v="30"/>
    <n v="14"/>
    <n v="24"/>
    <n v="120"/>
    <n v="30"/>
    <n v="30"/>
    <x v="0"/>
    <x v="1"/>
  </r>
  <r>
    <n v="142"/>
    <s v="Emmanuel"/>
    <x v="0"/>
    <n v="14"/>
    <x v="1"/>
    <n v="77"/>
    <n v="79"/>
    <n v="92"/>
    <n v="36"/>
    <n v="284"/>
    <n v="71"/>
    <n v="71"/>
    <x v="1"/>
    <x v="4"/>
  </r>
  <r>
    <n v="143"/>
    <s v="Cristian"/>
    <x v="1"/>
    <n v="13"/>
    <x v="1"/>
    <n v="5"/>
    <n v="3"/>
    <n v="97"/>
    <n v="84"/>
    <n v="189"/>
    <n v="47.25"/>
    <n v="47.25"/>
    <x v="0"/>
    <x v="2"/>
  </r>
  <r>
    <n v="144"/>
    <s v="Guido"/>
    <x v="0"/>
    <n v="13"/>
    <x v="0"/>
    <n v="63"/>
    <n v="12"/>
    <n v="69"/>
    <n v="41"/>
    <n v="185"/>
    <n v="46.25"/>
    <n v="46.25"/>
    <x v="0"/>
    <x v="2"/>
  </r>
  <r>
    <n v="145"/>
    <s v="Alis"/>
    <x v="1"/>
    <n v="15"/>
    <x v="2"/>
    <n v="76"/>
    <n v="53"/>
    <n v="32"/>
    <n v="69"/>
    <n v="230"/>
    <n v="57.5"/>
    <n v="57.499999999999993"/>
    <x v="0"/>
    <x v="0"/>
  </r>
  <r>
    <n v="146"/>
    <s v="Brien"/>
    <x v="0"/>
    <n v="15"/>
    <x v="1"/>
    <n v="43"/>
    <n v="4"/>
    <n v="40"/>
    <n v="93"/>
    <n v="180"/>
    <n v="45"/>
    <n v="45"/>
    <x v="0"/>
    <x v="2"/>
  </r>
  <r>
    <n v="147"/>
    <s v="Jaquenette"/>
    <x v="1"/>
    <n v="15"/>
    <x v="0"/>
    <n v="33"/>
    <n v="75"/>
    <n v="98"/>
    <n v="84"/>
    <n v="290"/>
    <n v="72.5"/>
    <n v="72.5"/>
    <x v="0"/>
    <x v="4"/>
  </r>
  <r>
    <n v="148"/>
    <s v="Danni"/>
    <x v="0"/>
    <n v="13"/>
    <x v="1"/>
    <n v="92"/>
    <n v="67"/>
    <n v="13"/>
    <n v="25"/>
    <n v="197"/>
    <n v="49.25"/>
    <n v="49.25"/>
    <x v="0"/>
    <x v="2"/>
  </r>
  <r>
    <n v="149"/>
    <s v="Adrianne"/>
    <x v="0"/>
    <n v="15"/>
    <x v="0"/>
    <n v="51"/>
    <n v="67"/>
    <n v="67"/>
    <n v="91"/>
    <n v="276"/>
    <n v="69"/>
    <n v="69"/>
    <x v="1"/>
    <x v="4"/>
  </r>
  <r>
    <n v="150"/>
    <s v="Inger"/>
    <x v="0"/>
    <n v="13"/>
    <x v="1"/>
    <n v="53"/>
    <n v="95"/>
    <n v="75"/>
    <n v="81"/>
    <n v="304"/>
    <n v="76"/>
    <n v="76"/>
    <x v="1"/>
    <x v="3"/>
  </r>
  <r>
    <n v="151"/>
    <s v="Herold"/>
    <x v="1"/>
    <n v="13"/>
    <x v="2"/>
    <n v="92"/>
    <n v="97"/>
    <n v="62"/>
    <n v="69"/>
    <n v="320"/>
    <n v="80"/>
    <n v="80"/>
    <x v="1"/>
    <x v="3"/>
  </r>
  <r>
    <n v="152"/>
    <s v="Candide"/>
    <x v="0"/>
    <n v="15"/>
    <x v="2"/>
    <n v="26"/>
    <n v="76"/>
    <n v="56"/>
    <n v="75"/>
    <n v="233"/>
    <n v="58.25"/>
    <n v="58.25"/>
    <x v="0"/>
    <x v="0"/>
  </r>
  <r>
    <n v="153"/>
    <s v="Susi"/>
    <x v="1"/>
    <n v="13"/>
    <x v="2"/>
    <n v="23"/>
    <n v="41"/>
    <n v="49"/>
    <n v="79"/>
    <n v="192"/>
    <n v="48"/>
    <n v="48"/>
    <x v="0"/>
    <x v="2"/>
  </r>
  <r>
    <n v="154"/>
    <s v="Milo"/>
    <x v="0"/>
    <n v="14"/>
    <x v="2"/>
    <n v="47"/>
    <n v="16"/>
    <n v="55"/>
    <n v="21"/>
    <n v="139"/>
    <n v="34.75"/>
    <n v="34.75"/>
    <x v="0"/>
    <x v="1"/>
  </r>
  <r>
    <n v="155"/>
    <s v="Emlyn"/>
    <x v="1"/>
    <n v="14"/>
    <x v="0"/>
    <n v="32"/>
    <n v="3"/>
    <n v="69"/>
    <n v="96"/>
    <n v="200"/>
    <n v="50"/>
    <n v="50"/>
    <x v="0"/>
    <x v="0"/>
  </r>
  <r>
    <n v="156"/>
    <s v="Sarah"/>
    <x v="0"/>
    <n v="13"/>
    <x v="1"/>
    <n v="55"/>
    <n v="99"/>
    <n v="8"/>
    <n v="72"/>
    <n v="234"/>
    <n v="58.5"/>
    <n v="58.5"/>
    <x v="0"/>
    <x v="0"/>
  </r>
  <r>
    <n v="157"/>
    <s v="Paten"/>
    <x v="1"/>
    <n v="15"/>
    <x v="0"/>
    <n v="67"/>
    <n v="88"/>
    <n v="41"/>
    <n v="8"/>
    <n v="204"/>
    <n v="51"/>
    <n v="51"/>
    <x v="0"/>
    <x v="0"/>
  </r>
  <r>
    <n v="158"/>
    <s v="Aldin"/>
    <x v="0"/>
    <n v="13"/>
    <x v="0"/>
    <n v="72"/>
    <n v="24"/>
    <n v="83"/>
    <n v="62"/>
    <n v="241"/>
    <n v="60.25"/>
    <n v="60.25"/>
    <x v="0"/>
    <x v="4"/>
  </r>
  <r>
    <n v="159"/>
    <s v="Reagan"/>
    <x v="1"/>
    <n v="14"/>
    <x v="2"/>
    <n v="73"/>
    <n v="71"/>
    <n v="87"/>
    <n v="30"/>
    <n v="261"/>
    <n v="65.25"/>
    <n v="65.25"/>
    <x v="0"/>
    <x v="4"/>
  </r>
  <r>
    <n v="160"/>
    <s v="Patty"/>
    <x v="1"/>
    <n v="14"/>
    <x v="1"/>
    <n v="61"/>
    <n v="89"/>
    <n v="70"/>
    <n v="68"/>
    <n v="288"/>
    <n v="72"/>
    <n v="72"/>
    <x v="1"/>
    <x v="4"/>
  </r>
  <r>
    <n v="161"/>
    <s v="Barde"/>
    <x v="0"/>
    <n v="15"/>
    <x v="0"/>
    <n v="58"/>
    <n v="25"/>
    <n v="23"/>
    <n v="39"/>
    <n v="145"/>
    <n v="36.25"/>
    <n v="36.25"/>
    <x v="0"/>
    <x v="2"/>
  </r>
  <r>
    <n v="162"/>
    <s v="Pepi"/>
    <x v="0"/>
    <n v="13"/>
    <x v="2"/>
    <n v="100"/>
    <n v="64"/>
    <n v="16"/>
    <n v="20"/>
    <n v="200"/>
    <n v="50"/>
    <n v="50"/>
    <x v="0"/>
    <x v="0"/>
  </r>
  <r>
    <n v="163"/>
    <s v="Page"/>
    <x v="1"/>
    <n v="15"/>
    <x v="1"/>
    <n v="44"/>
    <n v="47"/>
    <n v="43"/>
    <n v="55"/>
    <n v="189"/>
    <n v="47.25"/>
    <n v="47.25"/>
    <x v="1"/>
    <x v="2"/>
  </r>
  <r>
    <n v="164"/>
    <s v="Alard"/>
    <x v="0"/>
    <n v="13"/>
    <x v="2"/>
    <n v="91"/>
    <n v="12"/>
    <n v="15"/>
    <n v="70"/>
    <n v="188"/>
    <n v="47"/>
    <n v="47"/>
    <x v="0"/>
    <x v="2"/>
  </r>
  <r>
    <n v="165"/>
    <s v="Fidelia"/>
    <x v="0"/>
    <n v="15"/>
    <x v="0"/>
    <n v="35"/>
    <n v="39"/>
    <n v="61"/>
    <n v="9"/>
    <n v="144"/>
    <n v="36"/>
    <n v="36"/>
    <x v="0"/>
    <x v="2"/>
  </r>
  <r>
    <n v="166"/>
    <s v="Hali"/>
    <x v="1"/>
    <n v="13"/>
    <x v="0"/>
    <n v="67"/>
    <n v="21"/>
    <n v="60"/>
    <n v="40"/>
    <n v="188"/>
    <n v="47"/>
    <n v="47"/>
    <x v="0"/>
    <x v="2"/>
  </r>
  <r>
    <n v="167"/>
    <s v="Keeley"/>
    <x v="1"/>
    <n v="15"/>
    <x v="0"/>
    <n v="84"/>
    <n v="8"/>
    <n v="71"/>
    <n v="48"/>
    <n v="211"/>
    <n v="52.75"/>
    <n v="52.75"/>
    <x v="0"/>
    <x v="0"/>
  </r>
  <r>
    <n v="168"/>
    <s v="Dory"/>
    <x v="0"/>
    <n v="13"/>
    <x v="1"/>
    <n v="23"/>
    <n v="5"/>
    <n v="39"/>
    <n v="42"/>
    <n v="109"/>
    <n v="27.25"/>
    <n v="27.250000000000004"/>
    <x v="0"/>
    <x v="1"/>
  </r>
  <r>
    <n v="169"/>
    <s v="Ilaire"/>
    <x v="1"/>
    <n v="14"/>
    <x v="0"/>
    <n v="95"/>
    <n v="56"/>
    <n v="4"/>
    <n v="100"/>
    <n v="255"/>
    <n v="63.75"/>
    <n v="63.749999999999993"/>
    <x v="0"/>
    <x v="4"/>
  </r>
  <r>
    <n v="170"/>
    <s v="Ermina"/>
    <x v="0"/>
    <n v="15"/>
    <x v="1"/>
    <n v="38"/>
    <n v="17"/>
    <n v="76"/>
    <n v="26"/>
    <n v="157"/>
    <n v="39.25"/>
    <n v="39.25"/>
    <x v="0"/>
    <x v="2"/>
  </r>
  <r>
    <n v="171"/>
    <s v="Fran"/>
    <x v="0"/>
    <n v="15"/>
    <x v="1"/>
    <n v="34"/>
    <n v="74"/>
    <n v="83"/>
    <n v="81"/>
    <n v="272"/>
    <n v="68"/>
    <n v="68"/>
    <x v="0"/>
    <x v="4"/>
  </r>
  <r>
    <n v="172"/>
    <s v="Desmund"/>
    <x v="1"/>
    <n v="14"/>
    <x v="2"/>
    <n v="86"/>
    <n v="92"/>
    <n v="8"/>
    <n v="62"/>
    <n v="248"/>
    <n v="62"/>
    <n v="62"/>
    <x v="0"/>
    <x v="4"/>
  </r>
  <r>
    <n v="173"/>
    <s v="Rosamond"/>
    <x v="1"/>
    <n v="15"/>
    <x v="0"/>
    <n v="55"/>
    <n v="62"/>
    <n v="57"/>
    <n v="56"/>
    <n v="230"/>
    <n v="57.5"/>
    <n v="57.499999999999993"/>
    <x v="1"/>
    <x v="0"/>
  </r>
  <r>
    <n v="174"/>
    <s v="Margaux"/>
    <x v="1"/>
    <n v="14"/>
    <x v="2"/>
    <n v="94"/>
    <n v="28"/>
    <n v="6"/>
    <n v="9"/>
    <n v="137"/>
    <n v="34.25"/>
    <n v="34.25"/>
    <x v="0"/>
    <x v="1"/>
  </r>
  <r>
    <n v="175"/>
    <s v="Shalom"/>
    <x v="0"/>
    <n v="14"/>
    <x v="1"/>
    <n v="63"/>
    <n v="9"/>
    <n v="91"/>
    <n v="88"/>
    <n v="251"/>
    <n v="62.75"/>
    <n v="62.749999999999993"/>
    <x v="0"/>
    <x v="4"/>
  </r>
  <r>
    <n v="176"/>
    <s v="Ivan"/>
    <x v="1"/>
    <n v="14"/>
    <x v="0"/>
    <n v="95"/>
    <n v="21"/>
    <n v="51"/>
    <n v="33"/>
    <n v="200"/>
    <n v="50"/>
    <n v="50"/>
    <x v="0"/>
    <x v="0"/>
  </r>
  <r>
    <n v="177"/>
    <s v="Guntar"/>
    <x v="1"/>
    <n v="13"/>
    <x v="1"/>
    <n v="92"/>
    <n v="36"/>
    <n v="59"/>
    <n v="48"/>
    <n v="235"/>
    <n v="58.75"/>
    <n v="58.75"/>
    <x v="1"/>
    <x v="0"/>
  </r>
  <r>
    <n v="178"/>
    <s v="Moselle"/>
    <x v="0"/>
    <n v="15"/>
    <x v="2"/>
    <n v="87"/>
    <n v="39"/>
    <n v="48"/>
    <n v="53"/>
    <n v="227"/>
    <n v="56.75"/>
    <n v="56.75"/>
    <x v="1"/>
    <x v="0"/>
  </r>
  <r>
    <n v="179"/>
    <s v="Val"/>
    <x v="1"/>
    <n v="13"/>
    <x v="1"/>
    <n v="95"/>
    <n v="73"/>
    <n v="91"/>
    <n v="61"/>
    <n v="320"/>
    <n v="80"/>
    <n v="80"/>
    <x v="1"/>
    <x v="3"/>
  </r>
  <r>
    <n v="180"/>
    <s v="Amber"/>
    <x v="0"/>
    <n v="15"/>
    <x v="0"/>
    <n v="32"/>
    <n v="5"/>
    <n v="53"/>
    <n v="49"/>
    <n v="139"/>
    <n v="34.75"/>
    <n v="34.75"/>
    <x v="0"/>
    <x v="1"/>
  </r>
  <r>
    <n v="181"/>
    <s v="Davidde"/>
    <x v="1"/>
    <n v="13"/>
    <x v="0"/>
    <n v="98"/>
    <n v="100"/>
    <n v="23"/>
    <n v="84"/>
    <n v="305"/>
    <n v="76.25"/>
    <n v="76.25"/>
    <x v="0"/>
    <x v="3"/>
  </r>
  <r>
    <n v="182"/>
    <s v="Richard"/>
    <x v="1"/>
    <n v="13"/>
    <x v="2"/>
    <n v="62"/>
    <n v="42"/>
    <n v="87"/>
    <n v="51"/>
    <n v="242"/>
    <n v="60.5"/>
    <n v="60.5"/>
    <x v="1"/>
    <x v="4"/>
  </r>
  <r>
    <n v="183"/>
    <s v="Sebastian"/>
    <x v="0"/>
    <n v="15"/>
    <x v="2"/>
    <n v="60"/>
    <n v="42"/>
    <n v="49"/>
    <n v="25"/>
    <n v="176"/>
    <n v="44"/>
    <n v="44"/>
    <x v="0"/>
    <x v="2"/>
  </r>
  <r>
    <n v="184"/>
    <s v="Billie"/>
    <x v="0"/>
    <n v="13"/>
    <x v="0"/>
    <n v="53"/>
    <n v="37"/>
    <n v="83"/>
    <n v="64"/>
    <n v="237"/>
    <n v="59.25"/>
    <n v="59.25"/>
    <x v="1"/>
    <x v="0"/>
  </r>
  <r>
    <n v="185"/>
    <s v="Purcell"/>
    <x v="1"/>
    <n v="14"/>
    <x v="1"/>
    <n v="75"/>
    <n v="14"/>
    <n v="54"/>
    <n v="68"/>
    <n v="211"/>
    <n v="52.75"/>
    <n v="52.75"/>
    <x v="0"/>
    <x v="0"/>
  </r>
  <r>
    <n v="186"/>
    <s v="Alaine"/>
    <x v="1"/>
    <n v="15"/>
    <x v="2"/>
    <n v="48"/>
    <n v="2"/>
    <n v="63"/>
    <n v="91"/>
    <n v="204"/>
    <n v="51"/>
    <n v="51"/>
    <x v="0"/>
    <x v="0"/>
  </r>
  <r>
    <n v="187"/>
    <s v="Goldarina"/>
    <x v="1"/>
    <n v="14"/>
    <x v="2"/>
    <n v="27"/>
    <n v="11"/>
    <n v="18"/>
    <n v="92"/>
    <n v="148"/>
    <n v="37"/>
    <n v="37"/>
    <x v="0"/>
    <x v="2"/>
  </r>
  <r>
    <n v="188"/>
    <s v="Ruperto"/>
    <x v="0"/>
    <n v="14"/>
    <x v="1"/>
    <n v="60"/>
    <n v="55"/>
    <n v="30"/>
    <n v="83"/>
    <n v="228"/>
    <n v="57"/>
    <n v="56.999999999999993"/>
    <x v="0"/>
    <x v="0"/>
  </r>
  <r>
    <n v="189"/>
    <s v="Oberon"/>
    <x v="0"/>
    <n v="15"/>
    <x v="0"/>
    <n v="87"/>
    <n v="21"/>
    <n v="41"/>
    <n v="24"/>
    <n v="173"/>
    <n v="43.25"/>
    <n v="43.25"/>
    <x v="0"/>
    <x v="2"/>
  </r>
  <r>
    <n v="190"/>
    <s v="Ezekiel"/>
    <x v="1"/>
    <n v="13"/>
    <x v="2"/>
    <n v="14"/>
    <n v="6"/>
    <n v="29"/>
    <n v="72"/>
    <n v="121"/>
    <n v="30.25"/>
    <n v="30.25"/>
    <x v="0"/>
    <x v="1"/>
  </r>
  <r>
    <n v="191"/>
    <s v="Estel"/>
    <x v="1"/>
    <n v="14"/>
    <x v="0"/>
    <n v="38"/>
    <n v="66"/>
    <n v="53"/>
    <n v="32"/>
    <n v="189"/>
    <n v="47.25"/>
    <n v="47.25"/>
    <x v="0"/>
    <x v="2"/>
  </r>
  <r>
    <n v="192"/>
    <s v="Jayme"/>
    <x v="1"/>
    <n v="13"/>
    <x v="1"/>
    <n v="39"/>
    <n v="14"/>
    <n v="77"/>
    <n v="53"/>
    <n v="183"/>
    <n v="45.75"/>
    <n v="45.75"/>
    <x v="0"/>
    <x v="2"/>
  </r>
  <r>
    <n v="193"/>
    <s v="Hebert"/>
    <x v="1"/>
    <n v="15"/>
    <x v="2"/>
    <n v="50"/>
    <n v="48"/>
    <n v="13"/>
    <n v="15"/>
    <n v="126"/>
    <n v="31.5"/>
    <n v="31.5"/>
    <x v="0"/>
    <x v="1"/>
  </r>
  <r>
    <n v="194"/>
    <s v="Olivia"/>
    <x v="0"/>
    <n v="13"/>
    <x v="1"/>
    <n v="48"/>
    <n v="4"/>
    <n v="79"/>
    <n v="76"/>
    <n v="207"/>
    <n v="51.75"/>
    <n v="51.749999999999993"/>
    <x v="0"/>
    <x v="0"/>
  </r>
  <r>
    <n v="195"/>
    <s v="Darya"/>
    <x v="1"/>
    <n v="15"/>
    <x v="0"/>
    <n v="13"/>
    <n v="35"/>
    <n v="71"/>
    <n v="30"/>
    <n v="149"/>
    <n v="37.25"/>
    <n v="37.25"/>
    <x v="0"/>
    <x v="2"/>
  </r>
  <r>
    <n v="196"/>
    <s v="Nita"/>
    <x v="1"/>
    <n v="14"/>
    <x v="2"/>
    <n v="92"/>
    <n v="57"/>
    <n v="31"/>
    <n v="75"/>
    <n v="255"/>
    <n v="63.75"/>
    <n v="63.749999999999993"/>
    <x v="0"/>
    <x v="4"/>
  </r>
  <r>
    <n v="197"/>
    <s v="Elbertina"/>
    <x v="0"/>
    <n v="14"/>
    <x v="2"/>
    <n v="82"/>
    <n v="4"/>
    <n v="56"/>
    <n v="22"/>
    <n v="164"/>
    <n v="41"/>
    <n v="41"/>
    <x v="0"/>
    <x v="2"/>
  </r>
  <r>
    <n v="198"/>
    <s v="Carol"/>
    <x v="0"/>
    <n v="14"/>
    <x v="1"/>
    <n v="98"/>
    <n v="13"/>
    <n v="35"/>
    <n v="4"/>
    <n v="150"/>
    <n v="37.5"/>
    <n v="37.5"/>
    <x v="0"/>
    <x v="2"/>
  </r>
  <r>
    <n v="199"/>
    <s v="Codi"/>
    <x v="1"/>
    <n v="14"/>
    <x v="0"/>
    <n v="30"/>
    <n v="62"/>
    <n v="32"/>
    <n v="60"/>
    <n v="184"/>
    <n v="46"/>
    <n v="46"/>
    <x v="0"/>
    <x v="2"/>
  </r>
  <r>
    <n v="200"/>
    <s v="Codi"/>
    <x v="0"/>
    <n v="15"/>
    <x v="2"/>
    <n v="57"/>
    <n v="68"/>
    <n v="56"/>
    <n v="23"/>
    <n v="204"/>
    <n v="51"/>
    <n v="51"/>
    <x v="0"/>
    <x v="0"/>
  </r>
  <r>
    <n v="201"/>
    <s v="Ruddie"/>
    <x v="0"/>
    <n v="15"/>
    <x v="1"/>
    <n v="84"/>
    <n v="97"/>
    <n v="88"/>
    <n v="64"/>
    <n v="333"/>
    <n v="83.25"/>
    <n v="83.25"/>
    <x v="1"/>
    <x v="3"/>
  </r>
  <r>
    <n v="202"/>
    <s v="Baudoin"/>
    <x v="1"/>
    <n v="14"/>
    <x v="0"/>
    <n v="89"/>
    <n v="59"/>
    <n v="33"/>
    <n v="91"/>
    <n v="272"/>
    <n v="68"/>
    <n v="68"/>
    <x v="0"/>
    <x v="4"/>
  </r>
  <r>
    <n v="203"/>
    <s v="Norri"/>
    <x v="1"/>
    <n v="14"/>
    <x v="1"/>
    <n v="45"/>
    <n v="21"/>
    <n v="61"/>
    <n v="13"/>
    <n v="140"/>
    <n v="35"/>
    <n v="35"/>
    <x v="0"/>
    <x v="2"/>
  </r>
  <r>
    <n v="204"/>
    <s v="Nealon"/>
    <x v="1"/>
    <n v="14"/>
    <x v="1"/>
    <n v="84"/>
    <n v="10"/>
    <n v="71"/>
    <n v="8"/>
    <n v="173"/>
    <n v="43.25"/>
    <n v="43.25"/>
    <x v="0"/>
    <x v="2"/>
  </r>
  <r>
    <n v="205"/>
    <s v="Willem"/>
    <x v="0"/>
    <n v="13"/>
    <x v="0"/>
    <n v="7"/>
    <n v="47"/>
    <n v="39"/>
    <n v="16"/>
    <n v="109"/>
    <n v="27.25"/>
    <n v="27.250000000000004"/>
    <x v="0"/>
    <x v="1"/>
  </r>
  <r>
    <n v="206"/>
    <s v="Rosalyn"/>
    <x v="1"/>
    <n v="15"/>
    <x v="0"/>
    <n v="54"/>
    <n v="89"/>
    <n v="59"/>
    <n v="88"/>
    <n v="290"/>
    <n v="72.5"/>
    <n v="72.5"/>
    <x v="1"/>
    <x v="4"/>
  </r>
  <r>
    <n v="207"/>
    <s v="Fannie"/>
    <x v="1"/>
    <n v="14"/>
    <x v="0"/>
    <n v="49"/>
    <n v="48"/>
    <n v="81"/>
    <n v="44"/>
    <n v="222"/>
    <n v="55.5"/>
    <n v="55.500000000000007"/>
    <x v="1"/>
    <x v="0"/>
  </r>
  <r>
    <n v="208"/>
    <s v="Davis"/>
    <x v="1"/>
    <n v="13"/>
    <x v="2"/>
    <n v="56"/>
    <n v="12"/>
    <n v="75"/>
    <n v="96"/>
    <n v="239"/>
    <n v="59.75"/>
    <n v="59.75"/>
    <x v="0"/>
    <x v="0"/>
  </r>
  <r>
    <n v="209"/>
    <s v="Zenia"/>
    <x v="0"/>
    <n v="14"/>
    <x v="0"/>
    <n v="59"/>
    <n v="94"/>
    <n v="94"/>
    <n v="47"/>
    <n v="294"/>
    <n v="73.5"/>
    <n v="73.5"/>
    <x v="1"/>
    <x v="4"/>
  </r>
  <r>
    <n v="210"/>
    <s v="Alasteir"/>
    <x v="1"/>
    <n v="13"/>
    <x v="2"/>
    <n v="7"/>
    <n v="29"/>
    <n v="30"/>
    <n v="23"/>
    <n v="89"/>
    <n v="22.25"/>
    <n v="22.25"/>
    <x v="0"/>
    <x v="1"/>
  </r>
  <r>
    <n v="211"/>
    <s v="Vivyan"/>
    <x v="1"/>
    <n v="14"/>
    <x v="2"/>
    <n v="28"/>
    <n v="30"/>
    <n v="80"/>
    <n v="33"/>
    <n v="171"/>
    <n v="42.75"/>
    <n v="42.75"/>
    <x v="0"/>
    <x v="2"/>
  </r>
  <r>
    <n v="212"/>
    <s v="Reg"/>
    <x v="1"/>
    <n v="15"/>
    <x v="2"/>
    <n v="85"/>
    <n v="8"/>
    <n v="88"/>
    <n v="82"/>
    <n v="263"/>
    <n v="65.75"/>
    <n v="65.75"/>
    <x v="0"/>
    <x v="4"/>
  </r>
  <r>
    <n v="213"/>
    <s v="Evangelin"/>
    <x v="1"/>
    <n v="15"/>
    <x v="0"/>
    <n v="63"/>
    <n v="92"/>
    <n v="38"/>
    <n v="60"/>
    <n v="253"/>
    <n v="63.25"/>
    <n v="63.249999999999993"/>
    <x v="1"/>
    <x v="4"/>
  </r>
  <r>
    <n v="214"/>
    <s v="Tucky"/>
    <x v="0"/>
    <n v="15"/>
    <x v="2"/>
    <n v="87"/>
    <n v="17"/>
    <n v="94"/>
    <n v="41"/>
    <n v="239"/>
    <n v="59.75"/>
    <n v="59.75"/>
    <x v="0"/>
    <x v="0"/>
  </r>
  <r>
    <n v="215"/>
    <s v="Betteann"/>
    <x v="1"/>
    <n v="13"/>
    <x v="0"/>
    <n v="68"/>
    <n v="79"/>
    <n v="71"/>
    <n v="41"/>
    <n v="259"/>
    <n v="64.75"/>
    <n v="64.75"/>
    <x v="1"/>
    <x v="4"/>
  </r>
  <r>
    <n v="216"/>
    <s v="Elyn"/>
    <x v="1"/>
    <n v="15"/>
    <x v="2"/>
    <n v="5"/>
    <n v="86"/>
    <n v="48"/>
    <n v="57"/>
    <n v="196"/>
    <n v="49"/>
    <n v="49"/>
    <x v="0"/>
    <x v="2"/>
  </r>
  <r>
    <n v="217"/>
    <s v="Kirk"/>
    <x v="0"/>
    <n v="14"/>
    <x v="2"/>
    <n v="71"/>
    <n v="88"/>
    <n v="44"/>
    <n v="13"/>
    <n v="216"/>
    <n v="54"/>
    <n v="54"/>
    <x v="0"/>
    <x v="0"/>
  </r>
  <r>
    <n v="218"/>
    <s v="Zack"/>
    <x v="1"/>
    <n v="13"/>
    <x v="1"/>
    <n v="72"/>
    <n v="46"/>
    <n v="40"/>
    <n v="90"/>
    <n v="248"/>
    <n v="62"/>
    <n v="62"/>
    <x v="1"/>
    <x v="4"/>
  </r>
  <r>
    <n v="219"/>
    <s v="Buffy"/>
    <x v="1"/>
    <n v="14"/>
    <x v="0"/>
    <n v="58"/>
    <n v="60"/>
    <n v="7"/>
    <n v="90"/>
    <n v="215"/>
    <n v="53.75"/>
    <n v="53.75"/>
    <x v="0"/>
    <x v="0"/>
  </r>
  <r>
    <n v="220"/>
    <s v="Tammy"/>
    <x v="1"/>
    <n v="13"/>
    <x v="1"/>
    <n v="81"/>
    <n v="63"/>
    <n v="16"/>
    <n v="62"/>
    <n v="222"/>
    <n v="55.5"/>
    <n v="55.500000000000007"/>
    <x v="0"/>
    <x v="0"/>
  </r>
  <r>
    <n v="221"/>
    <s v="Ericka"/>
    <x v="1"/>
    <n v="14"/>
    <x v="2"/>
    <n v="6"/>
    <n v="53"/>
    <n v="71"/>
    <n v="21"/>
    <n v="151"/>
    <n v="37.75"/>
    <n v="37.75"/>
    <x v="0"/>
    <x v="2"/>
  </r>
  <r>
    <n v="222"/>
    <s v="Natty"/>
    <x v="0"/>
    <n v="13"/>
    <x v="2"/>
    <n v="60"/>
    <n v="52"/>
    <n v="85"/>
    <n v="39"/>
    <n v="236"/>
    <n v="59"/>
    <n v="59"/>
    <x v="1"/>
    <x v="0"/>
  </r>
  <r>
    <n v="223"/>
    <s v="Leda"/>
    <x v="0"/>
    <n v="15"/>
    <x v="1"/>
    <n v="92"/>
    <n v="76"/>
    <n v="72"/>
    <n v="71"/>
    <n v="311"/>
    <n v="77.75"/>
    <n v="77.75"/>
    <x v="1"/>
    <x v="3"/>
  </r>
  <r>
    <n v="224"/>
    <s v="Tabbi"/>
    <x v="0"/>
    <n v="13"/>
    <x v="2"/>
    <n v="100"/>
    <n v="95"/>
    <n v="36"/>
    <n v="10"/>
    <n v="241"/>
    <n v="60.25"/>
    <n v="60.25"/>
    <x v="0"/>
    <x v="4"/>
  </r>
  <r>
    <n v="225"/>
    <s v="Romonda"/>
    <x v="0"/>
    <n v="13"/>
    <x v="0"/>
    <n v="84"/>
    <n v="10"/>
    <n v="82"/>
    <n v="93"/>
    <n v="269"/>
    <n v="67.25"/>
    <n v="67.25"/>
    <x v="0"/>
    <x v="4"/>
  </r>
  <r>
    <n v="226"/>
    <s v="Blake"/>
    <x v="0"/>
    <n v="15"/>
    <x v="1"/>
    <n v="16"/>
    <n v="4"/>
    <n v="49"/>
    <n v="1"/>
    <n v="70"/>
    <n v="17.5"/>
    <n v="17.5"/>
    <x v="0"/>
    <x v="1"/>
  </r>
  <r>
    <n v="227"/>
    <s v="Josepha"/>
    <x v="0"/>
    <n v="14"/>
    <x v="0"/>
    <n v="22"/>
    <n v="26"/>
    <n v="1"/>
    <n v="28"/>
    <n v="77"/>
    <n v="19.25"/>
    <n v="19.25"/>
    <x v="0"/>
    <x v="1"/>
  </r>
  <r>
    <n v="228"/>
    <s v="Maureene"/>
    <x v="0"/>
    <n v="14"/>
    <x v="1"/>
    <n v="78"/>
    <n v="63"/>
    <n v="62"/>
    <n v="38"/>
    <n v="241"/>
    <n v="60.25"/>
    <n v="60.25"/>
    <x v="1"/>
    <x v="4"/>
  </r>
  <r>
    <n v="229"/>
    <s v="Ginnifer"/>
    <x v="0"/>
    <n v="14"/>
    <x v="0"/>
    <n v="4"/>
    <n v="15"/>
    <n v="6"/>
    <n v="32"/>
    <n v="57"/>
    <n v="14.25"/>
    <n v="14.249999999999998"/>
    <x v="0"/>
    <x v="1"/>
  </r>
  <r>
    <n v="230"/>
    <s v="Kent"/>
    <x v="1"/>
    <n v="15"/>
    <x v="0"/>
    <n v="15"/>
    <n v="26"/>
    <n v="83"/>
    <n v="75"/>
    <n v="199"/>
    <n v="49.75"/>
    <n v="49.75"/>
    <x v="0"/>
    <x v="2"/>
  </r>
  <r>
    <n v="231"/>
    <s v="Stillman"/>
    <x v="1"/>
    <n v="15"/>
    <x v="1"/>
    <n v="50"/>
    <n v="70"/>
    <n v="31"/>
    <n v="98"/>
    <n v="249"/>
    <n v="62.25"/>
    <n v="62.250000000000007"/>
    <x v="0"/>
    <x v="4"/>
  </r>
  <r>
    <n v="232"/>
    <s v="Maude"/>
    <x v="1"/>
    <n v="13"/>
    <x v="2"/>
    <n v="81"/>
    <n v="45"/>
    <n v="22"/>
    <n v="36"/>
    <n v="184"/>
    <n v="46"/>
    <n v="46"/>
    <x v="0"/>
    <x v="2"/>
  </r>
  <r>
    <n v="233"/>
    <s v="Alysa"/>
    <x v="1"/>
    <n v="14"/>
    <x v="1"/>
    <n v="65"/>
    <n v="32"/>
    <n v="67"/>
    <n v="35"/>
    <n v="199"/>
    <n v="49.75"/>
    <n v="49.75"/>
    <x v="0"/>
    <x v="2"/>
  </r>
  <r>
    <n v="234"/>
    <s v="Mortimer"/>
    <x v="1"/>
    <n v="15"/>
    <x v="0"/>
    <n v="91"/>
    <n v="33"/>
    <n v="71"/>
    <n v="81"/>
    <n v="276"/>
    <n v="69"/>
    <n v="69"/>
    <x v="0"/>
    <x v="4"/>
  </r>
  <r>
    <n v="235"/>
    <s v="Fleming"/>
    <x v="1"/>
    <n v="13"/>
    <x v="0"/>
    <n v="31"/>
    <n v="9"/>
    <n v="79"/>
    <n v="54"/>
    <n v="173"/>
    <n v="43.25"/>
    <n v="43.25"/>
    <x v="0"/>
    <x v="2"/>
  </r>
  <r>
    <n v="236"/>
    <s v="Nadia"/>
    <x v="0"/>
    <n v="15"/>
    <x v="1"/>
    <n v="98"/>
    <n v="30"/>
    <n v="37"/>
    <n v="56"/>
    <n v="221"/>
    <n v="55.25"/>
    <n v="55.25"/>
    <x v="0"/>
    <x v="0"/>
  </r>
  <r>
    <n v="237"/>
    <s v="Britt"/>
    <x v="1"/>
    <n v="15"/>
    <x v="0"/>
    <n v="92"/>
    <n v="87"/>
    <n v="38"/>
    <n v="53"/>
    <n v="270"/>
    <n v="67.5"/>
    <n v="67.5"/>
    <x v="1"/>
    <x v="4"/>
  </r>
  <r>
    <n v="238"/>
    <s v="Lazar"/>
    <x v="0"/>
    <n v="15"/>
    <x v="2"/>
    <n v="54"/>
    <n v="34"/>
    <n v="66"/>
    <n v="97"/>
    <n v="251"/>
    <n v="62.75"/>
    <n v="62.749999999999993"/>
    <x v="0"/>
    <x v="4"/>
  </r>
  <r>
    <n v="239"/>
    <s v="Ashlin"/>
    <x v="0"/>
    <n v="14"/>
    <x v="2"/>
    <n v="49"/>
    <n v="47"/>
    <n v="19"/>
    <n v="55"/>
    <n v="170"/>
    <n v="42.5"/>
    <n v="42.5"/>
    <x v="0"/>
    <x v="2"/>
  </r>
  <r>
    <n v="240"/>
    <s v="Raimund"/>
    <x v="1"/>
    <n v="15"/>
    <x v="0"/>
    <n v="2"/>
    <n v="4"/>
    <n v="48"/>
    <n v="46"/>
    <n v="100"/>
    <n v="25"/>
    <n v="25"/>
    <x v="0"/>
    <x v="1"/>
  </r>
  <r>
    <n v="241"/>
    <s v="Claudell"/>
    <x v="1"/>
    <n v="14"/>
    <x v="0"/>
    <n v="76"/>
    <n v="15"/>
    <n v="70"/>
    <n v="35"/>
    <n v="196"/>
    <n v="49"/>
    <n v="49"/>
    <x v="0"/>
    <x v="2"/>
  </r>
  <r>
    <n v="242"/>
    <s v="Janey"/>
    <x v="1"/>
    <n v="15"/>
    <x v="0"/>
    <n v="3"/>
    <n v="49"/>
    <n v="67"/>
    <n v="96"/>
    <n v="215"/>
    <n v="53.75"/>
    <n v="53.75"/>
    <x v="0"/>
    <x v="0"/>
  </r>
  <r>
    <n v="243"/>
    <s v="Morrie"/>
    <x v="0"/>
    <n v="13"/>
    <x v="1"/>
    <n v="17"/>
    <n v="24"/>
    <n v="41"/>
    <n v="21"/>
    <n v="103"/>
    <n v="25.75"/>
    <n v="25.75"/>
    <x v="0"/>
    <x v="1"/>
  </r>
  <r>
    <n v="244"/>
    <s v="Domingo"/>
    <x v="1"/>
    <n v="13"/>
    <x v="0"/>
    <n v="95"/>
    <n v="63"/>
    <n v="65"/>
    <n v="71"/>
    <n v="294"/>
    <n v="73.5"/>
    <n v="73.5"/>
    <x v="1"/>
    <x v="4"/>
  </r>
  <r>
    <n v="245"/>
    <s v="Jesselyn"/>
    <x v="0"/>
    <n v="15"/>
    <x v="0"/>
    <n v="11"/>
    <n v="53"/>
    <n v="15"/>
    <n v="13"/>
    <n v="92"/>
    <n v="23"/>
    <n v="23"/>
    <x v="0"/>
    <x v="1"/>
  </r>
  <r>
    <n v="246"/>
    <s v="Nickie"/>
    <x v="1"/>
    <n v="13"/>
    <x v="0"/>
    <n v="28"/>
    <n v="15"/>
    <n v="25"/>
    <n v="10"/>
    <n v="78"/>
    <n v="19.5"/>
    <n v="19.5"/>
    <x v="0"/>
    <x v="1"/>
  </r>
  <r>
    <n v="247"/>
    <s v="Rog"/>
    <x v="0"/>
    <n v="13"/>
    <x v="1"/>
    <n v="1"/>
    <n v="4"/>
    <n v="68"/>
    <n v="65"/>
    <n v="138"/>
    <n v="34.5"/>
    <n v="34.5"/>
    <x v="0"/>
    <x v="1"/>
  </r>
  <r>
    <n v="248"/>
    <s v="Kaia"/>
    <x v="1"/>
    <n v="15"/>
    <x v="1"/>
    <n v="93"/>
    <n v="48"/>
    <n v="82"/>
    <n v="44"/>
    <n v="267"/>
    <n v="66.75"/>
    <n v="66.75"/>
    <x v="1"/>
    <x v="4"/>
  </r>
  <r>
    <n v="249"/>
    <s v="Anni"/>
    <x v="0"/>
    <n v="14"/>
    <x v="1"/>
    <n v="35"/>
    <n v="73"/>
    <n v="66"/>
    <n v="59"/>
    <n v="233"/>
    <n v="58.25"/>
    <n v="58.25"/>
    <x v="1"/>
    <x v="0"/>
  </r>
  <r>
    <n v="250"/>
    <s v="Fernande"/>
    <x v="1"/>
    <n v="15"/>
    <x v="1"/>
    <n v="50"/>
    <n v="8"/>
    <n v="80"/>
    <n v="78"/>
    <n v="216"/>
    <n v="54"/>
    <n v="5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9BD7B-54F4-4B00-AEF3-2C5402970940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J2:K5" firstHeaderRow="1" firstDataRow="1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>
      <items count="6">
        <item x="3"/>
        <item x="4"/>
        <item x="0"/>
        <item x="2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verag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A5AA05-2BE6-4B25-BA7C-171F4909F4B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G6" firstHeaderRow="1" firstDataRow="1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Ag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1C0CA7-EA63-4B62-8B9C-EFD993CDF9C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4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verage" fld="1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8D655-6F0D-49F0-A9D2-18AD1777EDBE}">
  <dimension ref="A1:I251"/>
  <sheetViews>
    <sheetView workbookViewId="0">
      <selection activeCell="K5" sqref="K5"/>
    </sheetView>
  </sheetViews>
  <sheetFormatPr defaultRowHeight="14.5" x14ac:dyDescent="0.35"/>
  <sheetData>
    <row r="1" spans="1: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>
        <v>1</v>
      </c>
      <c r="B2" s="1" t="s">
        <v>9</v>
      </c>
      <c r="C2" s="1" t="s">
        <v>10</v>
      </c>
      <c r="D2" s="1">
        <v>13</v>
      </c>
      <c r="E2" s="1" t="s">
        <v>11</v>
      </c>
      <c r="F2" s="1">
        <v>21</v>
      </c>
      <c r="G2" s="1">
        <v>81</v>
      </c>
      <c r="H2" s="1">
        <v>62</v>
      </c>
      <c r="I2" s="1">
        <v>49</v>
      </c>
    </row>
    <row r="3" spans="1:9" x14ac:dyDescent="0.35">
      <c r="A3" s="1">
        <v>2</v>
      </c>
      <c r="B3" s="1" t="s">
        <v>12</v>
      </c>
      <c r="C3" s="1" t="s">
        <v>13</v>
      </c>
      <c r="D3" s="1">
        <v>15</v>
      </c>
      <c r="E3" s="1" t="s">
        <v>14</v>
      </c>
      <c r="F3" s="1">
        <v>29</v>
      </c>
      <c r="G3" s="1">
        <v>41</v>
      </c>
      <c r="H3" s="1">
        <v>17</v>
      </c>
      <c r="I3" s="1">
        <v>40</v>
      </c>
    </row>
    <row r="4" spans="1:9" x14ac:dyDescent="0.35">
      <c r="A4" s="1">
        <v>3</v>
      </c>
      <c r="B4" s="1" t="s">
        <v>15</v>
      </c>
      <c r="C4" s="1" t="s">
        <v>10</v>
      </c>
      <c r="D4" s="1">
        <v>14</v>
      </c>
      <c r="E4" s="1" t="s">
        <v>11</v>
      </c>
      <c r="F4" s="1">
        <v>12</v>
      </c>
      <c r="G4" s="1">
        <v>87</v>
      </c>
      <c r="H4" s="1">
        <v>16</v>
      </c>
      <c r="I4" s="1">
        <v>96</v>
      </c>
    </row>
    <row r="5" spans="1:9" x14ac:dyDescent="0.35">
      <c r="A5" s="1">
        <v>4</v>
      </c>
      <c r="B5" s="1" t="s">
        <v>16</v>
      </c>
      <c r="C5" s="1" t="s">
        <v>10</v>
      </c>
      <c r="D5" s="1">
        <v>14</v>
      </c>
      <c r="E5" s="1" t="s">
        <v>14</v>
      </c>
      <c r="F5" s="1">
        <v>15</v>
      </c>
      <c r="G5" s="1">
        <v>53</v>
      </c>
      <c r="H5" s="1">
        <v>82</v>
      </c>
      <c r="I5" s="1">
        <v>33</v>
      </c>
    </row>
    <row r="6" spans="1:9" x14ac:dyDescent="0.35">
      <c r="A6" s="1">
        <v>5</v>
      </c>
      <c r="B6" s="1" t="s">
        <v>17</v>
      </c>
      <c r="C6" s="1" t="s">
        <v>13</v>
      </c>
      <c r="D6" s="1">
        <v>14</v>
      </c>
      <c r="E6" s="1" t="s">
        <v>18</v>
      </c>
      <c r="F6" s="1">
        <v>43</v>
      </c>
      <c r="G6" s="1">
        <v>6</v>
      </c>
      <c r="H6" s="1">
        <v>3</v>
      </c>
      <c r="I6" s="1">
        <v>21</v>
      </c>
    </row>
    <row r="7" spans="1:9" x14ac:dyDescent="0.35">
      <c r="A7" s="1">
        <v>6</v>
      </c>
      <c r="B7" s="1" t="s">
        <v>19</v>
      </c>
      <c r="C7" s="1" t="s">
        <v>10</v>
      </c>
      <c r="D7" s="1">
        <v>14</v>
      </c>
      <c r="E7" s="1" t="s">
        <v>11</v>
      </c>
      <c r="F7" s="1">
        <v>98</v>
      </c>
      <c r="G7" s="1">
        <v>51</v>
      </c>
      <c r="H7" s="1">
        <v>85</v>
      </c>
      <c r="I7" s="1">
        <v>76</v>
      </c>
    </row>
    <row r="8" spans="1:9" x14ac:dyDescent="0.35">
      <c r="A8" s="1">
        <v>7</v>
      </c>
      <c r="B8" s="1" t="s">
        <v>20</v>
      </c>
      <c r="C8" s="1" t="s">
        <v>10</v>
      </c>
      <c r="D8" s="1">
        <v>14</v>
      </c>
      <c r="E8" s="1" t="s">
        <v>14</v>
      </c>
      <c r="F8" s="1">
        <v>38</v>
      </c>
      <c r="G8" s="1">
        <v>74</v>
      </c>
      <c r="H8" s="1">
        <v>54</v>
      </c>
      <c r="I8" s="1">
        <v>60</v>
      </c>
    </row>
    <row r="9" spans="1:9" x14ac:dyDescent="0.35">
      <c r="A9" s="1">
        <v>8</v>
      </c>
      <c r="B9" s="1" t="s">
        <v>21</v>
      </c>
      <c r="C9" s="1" t="s">
        <v>13</v>
      </c>
      <c r="D9" s="1">
        <v>14</v>
      </c>
      <c r="E9" s="1" t="s">
        <v>14</v>
      </c>
      <c r="F9" s="1">
        <v>25</v>
      </c>
      <c r="G9" s="1">
        <v>51</v>
      </c>
      <c r="H9" s="1">
        <v>41</v>
      </c>
      <c r="I9" s="1">
        <v>80</v>
      </c>
    </row>
    <row r="10" spans="1:9" x14ac:dyDescent="0.35">
      <c r="A10" s="1">
        <v>9</v>
      </c>
      <c r="B10" s="1" t="s">
        <v>22</v>
      </c>
      <c r="C10" s="1" t="s">
        <v>13</v>
      </c>
      <c r="D10" s="1">
        <v>15</v>
      </c>
      <c r="E10" s="1" t="s">
        <v>18</v>
      </c>
      <c r="F10" s="1">
        <v>39</v>
      </c>
      <c r="G10" s="1">
        <v>16</v>
      </c>
      <c r="H10" s="1">
        <v>22</v>
      </c>
      <c r="I10" s="1">
        <v>49</v>
      </c>
    </row>
    <row r="11" spans="1:9" x14ac:dyDescent="0.35">
      <c r="A11" s="1">
        <v>10</v>
      </c>
      <c r="B11" s="1" t="s">
        <v>23</v>
      </c>
      <c r="C11" s="1" t="s">
        <v>13</v>
      </c>
      <c r="D11" s="1">
        <v>15</v>
      </c>
      <c r="E11" s="1" t="s">
        <v>11</v>
      </c>
      <c r="F11" s="1">
        <v>35</v>
      </c>
      <c r="G11" s="1">
        <v>25</v>
      </c>
      <c r="H11" s="1">
        <v>37</v>
      </c>
      <c r="I11" s="1">
        <v>27</v>
      </c>
    </row>
    <row r="12" spans="1:9" x14ac:dyDescent="0.35">
      <c r="A12" s="1">
        <v>11</v>
      </c>
      <c r="B12" s="1" t="s">
        <v>24</v>
      </c>
      <c r="C12" s="1" t="s">
        <v>13</v>
      </c>
      <c r="D12" s="1">
        <v>15</v>
      </c>
      <c r="E12" s="1" t="s">
        <v>11</v>
      </c>
      <c r="F12" s="1">
        <v>100</v>
      </c>
      <c r="G12" s="1">
        <v>93</v>
      </c>
      <c r="H12" s="1">
        <v>87</v>
      </c>
      <c r="I12" s="1">
        <v>81</v>
      </c>
    </row>
    <row r="13" spans="1:9" x14ac:dyDescent="0.35">
      <c r="A13" s="1">
        <v>12</v>
      </c>
      <c r="B13" s="1" t="s">
        <v>25</v>
      </c>
      <c r="C13" s="1" t="s">
        <v>13</v>
      </c>
      <c r="D13" s="1">
        <v>13</v>
      </c>
      <c r="E13" s="1" t="s">
        <v>14</v>
      </c>
      <c r="F13" s="1">
        <v>19</v>
      </c>
      <c r="G13" s="1">
        <v>5</v>
      </c>
      <c r="H13" s="1">
        <v>78</v>
      </c>
      <c r="I13" s="1">
        <v>76</v>
      </c>
    </row>
    <row r="14" spans="1:9" x14ac:dyDescent="0.35">
      <c r="A14" s="1">
        <v>13</v>
      </c>
      <c r="B14" s="1" t="s">
        <v>26</v>
      </c>
      <c r="C14" s="1" t="s">
        <v>13</v>
      </c>
      <c r="D14" s="1">
        <v>15</v>
      </c>
      <c r="E14" s="1" t="s">
        <v>18</v>
      </c>
      <c r="F14" s="1">
        <v>65</v>
      </c>
      <c r="G14" s="1">
        <v>89</v>
      </c>
      <c r="H14" s="1">
        <v>96</v>
      </c>
      <c r="I14" s="1">
        <v>34</v>
      </c>
    </row>
    <row r="15" spans="1:9" x14ac:dyDescent="0.35">
      <c r="A15" s="1">
        <v>14</v>
      </c>
      <c r="B15" s="1" t="s">
        <v>27</v>
      </c>
      <c r="C15" s="1" t="s">
        <v>10</v>
      </c>
      <c r="D15" s="1">
        <v>13</v>
      </c>
      <c r="E15" s="1" t="s">
        <v>14</v>
      </c>
      <c r="F15" s="1">
        <v>93</v>
      </c>
      <c r="G15" s="1">
        <v>38</v>
      </c>
      <c r="H15" s="1">
        <v>39</v>
      </c>
      <c r="I15" s="1">
        <v>93</v>
      </c>
    </row>
    <row r="16" spans="1:9" x14ac:dyDescent="0.35">
      <c r="A16" s="1">
        <v>15</v>
      </c>
      <c r="B16" s="1" t="s">
        <v>28</v>
      </c>
      <c r="C16" s="1" t="s">
        <v>10</v>
      </c>
      <c r="D16" s="1">
        <v>13</v>
      </c>
      <c r="E16" s="1" t="s">
        <v>14</v>
      </c>
      <c r="F16" s="1">
        <v>98</v>
      </c>
      <c r="G16" s="1">
        <v>18</v>
      </c>
      <c r="H16" s="1">
        <v>84</v>
      </c>
      <c r="I16" s="1">
        <v>74</v>
      </c>
    </row>
    <row r="17" spans="1:9" x14ac:dyDescent="0.35">
      <c r="A17" s="1">
        <v>16</v>
      </c>
      <c r="B17" s="1" t="s">
        <v>29</v>
      </c>
      <c r="C17" s="1" t="s">
        <v>13</v>
      </c>
      <c r="D17" s="1">
        <v>15</v>
      </c>
      <c r="E17" s="1" t="s">
        <v>18</v>
      </c>
      <c r="F17" s="1">
        <v>53</v>
      </c>
      <c r="G17" s="1">
        <v>30</v>
      </c>
      <c r="H17" s="1">
        <v>90</v>
      </c>
      <c r="I17" s="1">
        <v>64</v>
      </c>
    </row>
    <row r="18" spans="1:9" x14ac:dyDescent="0.35">
      <c r="A18" s="1">
        <v>17</v>
      </c>
      <c r="B18" s="1" t="s">
        <v>30</v>
      </c>
      <c r="C18" s="1" t="s">
        <v>13</v>
      </c>
      <c r="D18" s="1">
        <v>13</v>
      </c>
      <c r="E18" s="1" t="s">
        <v>18</v>
      </c>
      <c r="F18" s="1">
        <v>91</v>
      </c>
      <c r="G18" s="1">
        <v>45</v>
      </c>
      <c r="H18" s="1">
        <v>44</v>
      </c>
      <c r="I18" s="1">
        <v>45</v>
      </c>
    </row>
    <row r="19" spans="1:9" x14ac:dyDescent="0.35">
      <c r="A19" s="1">
        <v>18</v>
      </c>
      <c r="B19" s="1" t="s">
        <v>31</v>
      </c>
      <c r="C19" s="1" t="s">
        <v>10</v>
      </c>
      <c r="D19" s="1">
        <v>13</v>
      </c>
      <c r="E19" s="1" t="s">
        <v>14</v>
      </c>
      <c r="F19" s="1">
        <v>5</v>
      </c>
      <c r="G19" s="1">
        <v>89</v>
      </c>
      <c r="H19" s="1">
        <v>25</v>
      </c>
      <c r="I19" s="1">
        <v>23</v>
      </c>
    </row>
    <row r="20" spans="1:9" x14ac:dyDescent="0.35">
      <c r="A20" s="1">
        <v>19</v>
      </c>
      <c r="B20" s="1" t="s">
        <v>32</v>
      </c>
      <c r="C20" s="1" t="s">
        <v>10</v>
      </c>
      <c r="D20" s="1">
        <v>13</v>
      </c>
      <c r="E20" s="1" t="s">
        <v>14</v>
      </c>
      <c r="F20" s="1">
        <v>62</v>
      </c>
      <c r="G20" s="1">
        <v>77</v>
      </c>
      <c r="H20" s="1">
        <v>75</v>
      </c>
      <c r="I20" s="1">
        <v>72</v>
      </c>
    </row>
    <row r="21" spans="1:9" x14ac:dyDescent="0.35">
      <c r="A21" s="1">
        <v>20</v>
      </c>
      <c r="B21" s="1" t="s">
        <v>33</v>
      </c>
      <c r="C21" s="1" t="s">
        <v>13</v>
      </c>
      <c r="D21" s="1">
        <v>13</v>
      </c>
      <c r="E21" s="1" t="s">
        <v>14</v>
      </c>
      <c r="F21" s="1">
        <v>41</v>
      </c>
      <c r="G21" s="1">
        <v>6</v>
      </c>
      <c r="H21" s="1">
        <v>17</v>
      </c>
      <c r="I21" s="1">
        <v>3</v>
      </c>
    </row>
    <row r="22" spans="1:9" x14ac:dyDescent="0.35">
      <c r="A22" s="1">
        <v>21</v>
      </c>
      <c r="B22" s="1" t="s">
        <v>34</v>
      </c>
      <c r="C22" s="1" t="s">
        <v>13</v>
      </c>
      <c r="D22" s="1">
        <v>13</v>
      </c>
      <c r="E22" s="1" t="s">
        <v>18</v>
      </c>
      <c r="F22" s="1">
        <v>76</v>
      </c>
      <c r="G22" s="1">
        <v>96</v>
      </c>
      <c r="H22" s="1">
        <v>67</v>
      </c>
      <c r="I22" s="1">
        <v>17</v>
      </c>
    </row>
    <row r="23" spans="1:9" x14ac:dyDescent="0.35">
      <c r="A23" s="1">
        <v>22</v>
      </c>
      <c r="B23" s="1" t="s">
        <v>35</v>
      </c>
      <c r="C23" s="1" t="s">
        <v>13</v>
      </c>
      <c r="D23" s="1">
        <v>14</v>
      </c>
      <c r="E23" s="1" t="s">
        <v>14</v>
      </c>
      <c r="F23" s="1">
        <v>3</v>
      </c>
      <c r="G23" s="1">
        <v>55</v>
      </c>
      <c r="H23" s="1">
        <v>14</v>
      </c>
      <c r="I23" s="1">
        <v>90</v>
      </c>
    </row>
    <row r="24" spans="1:9" x14ac:dyDescent="0.35">
      <c r="A24" s="1">
        <v>23</v>
      </c>
      <c r="B24" s="1" t="s">
        <v>36</v>
      </c>
      <c r="C24" s="1" t="s">
        <v>10</v>
      </c>
      <c r="D24" s="1">
        <v>13</v>
      </c>
      <c r="E24" s="1" t="s">
        <v>11</v>
      </c>
      <c r="F24" s="1">
        <v>5</v>
      </c>
      <c r="G24" s="1">
        <v>83</v>
      </c>
      <c r="H24" s="1">
        <v>19</v>
      </c>
      <c r="I24" s="1">
        <v>39</v>
      </c>
    </row>
    <row r="25" spans="1:9" x14ac:dyDescent="0.35">
      <c r="A25" s="1">
        <v>24</v>
      </c>
      <c r="B25" s="1" t="s">
        <v>37</v>
      </c>
      <c r="C25" s="1" t="s">
        <v>10</v>
      </c>
      <c r="D25" s="1">
        <v>14</v>
      </c>
      <c r="E25" s="1" t="s">
        <v>11</v>
      </c>
      <c r="F25" s="1">
        <v>48</v>
      </c>
      <c r="G25" s="1">
        <v>83</v>
      </c>
      <c r="H25" s="1">
        <v>79</v>
      </c>
      <c r="I25" s="1">
        <v>95</v>
      </c>
    </row>
    <row r="26" spans="1:9" x14ac:dyDescent="0.35">
      <c r="A26" s="1">
        <v>25</v>
      </c>
      <c r="B26" s="1" t="s">
        <v>38</v>
      </c>
      <c r="C26" s="1" t="s">
        <v>13</v>
      </c>
      <c r="D26" s="1">
        <v>14</v>
      </c>
      <c r="E26" s="1" t="s">
        <v>18</v>
      </c>
      <c r="F26" s="1">
        <v>17</v>
      </c>
      <c r="G26" s="1">
        <v>87</v>
      </c>
      <c r="H26" s="1">
        <v>16</v>
      </c>
      <c r="I26" s="1">
        <v>50</v>
      </c>
    </row>
    <row r="27" spans="1:9" x14ac:dyDescent="0.35">
      <c r="A27" s="1">
        <v>26</v>
      </c>
      <c r="B27" s="1" t="s">
        <v>39</v>
      </c>
      <c r="C27" s="1" t="s">
        <v>10</v>
      </c>
      <c r="D27" s="1">
        <v>15</v>
      </c>
      <c r="E27" s="1" t="s">
        <v>18</v>
      </c>
      <c r="F27" s="1">
        <v>16</v>
      </c>
      <c r="G27" s="1">
        <v>59</v>
      </c>
      <c r="H27" s="1">
        <v>18</v>
      </c>
      <c r="I27" s="1">
        <v>64</v>
      </c>
    </row>
    <row r="28" spans="1:9" x14ac:dyDescent="0.35">
      <c r="A28" s="1">
        <v>27</v>
      </c>
      <c r="B28" s="1" t="s">
        <v>40</v>
      </c>
      <c r="C28" s="1" t="s">
        <v>10</v>
      </c>
      <c r="D28" s="1">
        <v>14</v>
      </c>
      <c r="E28" s="1" t="s">
        <v>18</v>
      </c>
      <c r="F28" s="1">
        <v>93</v>
      </c>
      <c r="G28" s="1">
        <v>93</v>
      </c>
      <c r="H28" s="1">
        <v>83</v>
      </c>
      <c r="I28" s="1">
        <v>40</v>
      </c>
    </row>
    <row r="29" spans="1:9" x14ac:dyDescent="0.35">
      <c r="A29" s="1">
        <v>28</v>
      </c>
      <c r="B29" s="1" t="s">
        <v>41</v>
      </c>
      <c r="C29" s="1" t="s">
        <v>13</v>
      </c>
      <c r="D29" s="1">
        <v>14</v>
      </c>
      <c r="E29" s="1" t="s">
        <v>18</v>
      </c>
      <c r="F29" s="1">
        <v>60</v>
      </c>
      <c r="G29" s="1">
        <v>36</v>
      </c>
      <c r="H29" s="1">
        <v>86</v>
      </c>
      <c r="I29" s="1">
        <v>87</v>
      </c>
    </row>
    <row r="30" spans="1:9" x14ac:dyDescent="0.35">
      <c r="A30" s="1">
        <v>29</v>
      </c>
      <c r="B30" s="1" t="s">
        <v>42</v>
      </c>
      <c r="C30" s="1" t="s">
        <v>13</v>
      </c>
      <c r="D30" s="1">
        <v>13</v>
      </c>
      <c r="E30" s="1" t="s">
        <v>11</v>
      </c>
      <c r="F30" s="1">
        <v>19</v>
      </c>
      <c r="G30" s="1">
        <v>8</v>
      </c>
      <c r="H30" s="1">
        <v>76</v>
      </c>
      <c r="I30" s="1">
        <v>75</v>
      </c>
    </row>
    <row r="31" spans="1:9" x14ac:dyDescent="0.35">
      <c r="A31" s="1">
        <v>30</v>
      </c>
      <c r="B31" s="1" t="s">
        <v>43</v>
      </c>
      <c r="C31" s="1" t="s">
        <v>13</v>
      </c>
      <c r="D31" s="1">
        <v>13</v>
      </c>
      <c r="E31" s="1" t="s">
        <v>11</v>
      </c>
      <c r="F31" s="1">
        <v>95</v>
      </c>
      <c r="G31" s="1">
        <v>65</v>
      </c>
      <c r="H31" s="1">
        <v>25</v>
      </c>
      <c r="I31" s="1">
        <v>91</v>
      </c>
    </row>
    <row r="32" spans="1:9" x14ac:dyDescent="0.35">
      <c r="A32" s="1">
        <v>31</v>
      </c>
      <c r="B32" s="1" t="s">
        <v>44</v>
      </c>
      <c r="C32" s="1" t="s">
        <v>10</v>
      </c>
      <c r="D32" s="1">
        <v>15</v>
      </c>
      <c r="E32" s="1" t="s">
        <v>14</v>
      </c>
      <c r="F32" s="1">
        <v>14</v>
      </c>
      <c r="G32" s="1">
        <v>83</v>
      </c>
      <c r="H32" s="1">
        <v>9</v>
      </c>
      <c r="I32" s="1">
        <v>90</v>
      </c>
    </row>
    <row r="33" spans="1:9" x14ac:dyDescent="0.35">
      <c r="A33" s="1">
        <v>32</v>
      </c>
      <c r="B33" s="1" t="s">
        <v>45</v>
      </c>
      <c r="C33" s="1" t="s">
        <v>10</v>
      </c>
      <c r="D33" s="1">
        <v>15</v>
      </c>
      <c r="E33" s="1" t="s">
        <v>14</v>
      </c>
      <c r="F33" s="1">
        <v>17</v>
      </c>
      <c r="G33" s="1">
        <v>36</v>
      </c>
      <c r="H33" s="1">
        <v>45</v>
      </c>
      <c r="I33" s="1">
        <v>27</v>
      </c>
    </row>
    <row r="34" spans="1:9" x14ac:dyDescent="0.35">
      <c r="A34" s="1">
        <v>33</v>
      </c>
      <c r="B34" s="1" t="s">
        <v>46</v>
      </c>
      <c r="C34" s="1" t="s">
        <v>10</v>
      </c>
      <c r="D34" s="1">
        <v>14</v>
      </c>
      <c r="E34" s="1" t="s">
        <v>11</v>
      </c>
      <c r="F34" s="1">
        <v>17</v>
      </c>
      <c r="G34" s="1">
        <v>74</v>
      </c>
      <c r="H34" s="1">
        <v>11</v>
      </c>
      <c r="I34" s="1">
        <v>49</v>
      </c>
    </row>
    <row r="35" spans="1:9" x14ac:dyDescent="0.35">
      <c r="A35" s="1">
        <v>34</v>
      </c>
      <c r="B35" s="1" t="s">
        <v>47</v>
      </c>
      <c r="C35" s="1" t="s">
        <v>10</v>
      </c>
      <c r="D35" s="1">
        <v>15</v>
      </c>
      <c r="E35" s="1" t="s">
        <v>14</v>
      </c>
      <c r="F35" s="1">
        <v>54</v>
      </c>
      <c r="G35" s="1">
        <v>18</v>
      </c>
      <c r="H35" s="1">
        <v>46</v>
      </c>
      <c r="I35" s="1">
        <v>17</v>
      </c>
    </row>
    <row r="36" spans="1:9" x14ac:dyDescent="0.35">
      <c r="A36" s="1">
        <v>35</v>
      </c>
      <c r="B36" s="1" t="s">
        <v>48</v>
      </c>
      <c r="C36" s="1" t="s">
        <v>10</v>
      </c>
      <c r="D36" s="1">
        <v>13</v>
      </c>
      <c r="E36" s="1" t="s">
        <v>14</v>
      </c>
      <c r="F36" s="1">
        <v>5</v>
      </c>
      <c r="G36" s="1">
        <v>75</v>
      </c>
      <c r="H36" s="1">
        <v>13</v>
      </c>
      <c r="I36" s="1">
        <v>61</v>
      </c>
    </row>
    <row r="37" spans="1:9" x14ac:dyDescent="0.35">
      <c r="A37" s="1">
        <v>36</v>
      </c>
      <c r="B37" s="1" t="s">
        <v>49</v>
      </c>
      <c r="C37" s="1" t="s">
        <v>10</v>
      </c>
      <c r="D37" s="1">
        <v>15</v>
      </c>
      <c r="E37" s="1" t="s">
        <v>11</v>
      </c>
      <c r="F37" s="1">
        <v>93</v>
      </c>
      <c r="G37" s="1">
        <v>53</v>
      </c>
      <c r="H37" s="1">
        <v>10</v>
      </c>
      <c r="I37" s="1">
        <v>29</v>
      </c>
    </row>
    <row r="38" spans="1:9" x14ac:dyDescent="0.35">
      <c r="A38" s="1">
        <v>37</v>
      </c>
      <c r="B38" s="1" t="s">
        <v>50</v>
      </c>
      <c r="C38" s="1" t="s">
        <v>10</v>
      </c>
      <c r="D38" s="1">
        <v>14</v>
      </c>
      <c r="E38" s="1" t="s">
        <v>18</v>
      </c>
      <c r="F38" s="1">
        <v>54</v>
      </c>
      <c r="G38" s="1">
        <v>23</v>
      </c>
      <c r="H38" s="1">
        <v>19</v>
      </c>
      <c r="I38" s="1">
        <v>94</v>
      </c>
    </row>
    <row r="39" spans="1:9" x14ac:dyDescent="0.35">
      <c r="A39" s="1">
        <v>38</v>
      </c>
      <c r="B39" s="1" t="s">
        <v>51</v>
      </c>
      <c r="C39" s="1" t="s">
        <v>13</v>
      </c>
      <c r="D39" s="1">
        <v>14</v>
      </c>
      <c r="E39" s="1" t="s">
        <v>11</v>
      </c>
      <c r="F39" s="1">
        <v>90</v>
      </c>
      <c r="G39" s="1">
        <v>62</v>
      </c>
      <c r="H39" s="1">
        <v>45</v>
      </c>
      <c r="I39" s="1">
        <v>21</v>
      </c>
    </row>
    <row r="40" spans="1:9" x14ac:dyDescent="0.35">
      <c r="A40" s="1">
        <v>39</v>
      </c>
      <c r="B40" s="1" t="s">
        <v>52</v>
      </c>
      <c r="C40" s="1" t="s">
        <v>10</v>
      </c>
      <c r="D40" s="1">
        <v>13</v>
      </c>
      <c r="E40" s="1" t="s">
        <v>18</v>
      </c>
      <c r="F40" s="1">
        <v>71</v>
      </c>
      <c r="G40" s="1">
        <v>90</v>
      </c>
      <c r="H40" s="1">
        <v>78</v>
      </c>
      <c r="I40" s="1">
        <v>35</v>
      </c>
    </row>
    <row r="41" spans="1:9" x14ac:dyDescent="0.35">
      <c r="A41" s="1">
        <v>40</v>
      </c>
      <c r="B41" s="1" t="s">
        <v>53</v>
      </c>
      <c r="C41" s="1" t="s">
        <v>13</v>
      </c>
      <c r="D41" s="1">
        <v>13</v>
      </c>
      <c r="E41" s="1" t="s">
        <v>14</v>
      </c>
      <c r="F41" s="1">
        <v>100</v>
      </c>
      <c r="G41" s="1">
        <v>52</v>
      </c>
      <c r="H41" s="1">
        <v>89</v>
      </c>
      <c r="I41" s="1">
        <v>76</v>
      </c>
    </row>
    <row r="42" spans="1:9" x14ac:dyDescent="0.35">
      <c r="A42" s="1">
        <v>41</v>
      </c>
      <c r="B42" s="1" t="s">
        <v>54</v>
      </c>
      <c r="C42" s="1" t="s">
        <v>10</v>
      </c>
      <c r="D42" s="1">
        <v>15</v>
      </c>
      <c r="E42" s="1" t="s">
        <v>11</v>
      </c>
      <c r="F42" s="1">
        <v>10</v>
      </c>
      <c r="G42" s="1">
        <v>78</v>
      </c>
      <c r="H42" s="1">
        <v>56</v>
      </c>
      <c r="I42" s="1">
        <v>41</v>
      </c>
    </row>
    <row r="43" spans="1:9" x14ac:dyDescent="0.35">
      <c r="A43" s="1">
        <v>42</v>
      </c>
      <c r="B43" s="1" t="s">
        <v>55</v>
      </c>
      <c r="C43" s="1" t="s">
        <v>10</v>
      </c>
      <c r="D43" s="1">
        <v>13</v>
      </c>
      <c r="E43" s="1" t="s">
        <v>14</v>
      </c>
      <c r="F43" s="1">
        <v>21</v>
      </c>
      <c r="G43" s="1">
        <v>89</v>
      </c>
      <c r="H43" s="1">
        <v>72</v>
      </c>
      <c r="I43" s="1">
        <v>84</v>
      </c>
    </row>
    <row r="44" spans="1:9" x14ac:dyDescent="0.35">
      <c r="A44" s="1">
        <v>43</v>
      </c>
      <c r="B44" s="1" t="s">
        <v>56</v>
      </c>
      <c r="C44" s="1" t="s">
        <v>13</v>
      </c>
      <c r="D44" s="1">
        <v>15</v>
      </c>
      <c r="E44" s="1" t="s">
        <v>14</v>
      </c>
      <c r="F44" s="1">
        <v>43</v>
      </c>
      <c r="G44" s="1">
        <v>2</v>
      </c>
      <c r="H44" s="1">
        <v>17</v>
      </c>
      <c r="I44" s="1">
        <v>78</v>
      </c>
    </row>
    <row r="45" spans="1:9" x14ac:dyDescent="0.35">
      <c r="A45" s="1">
        <v>44</v>
      </c>
      <c r="B45" s="1" t="s">
        <v>57</v>
      </c>
      <c r="C45" s="1" t="s">
        <v>10</v>
      </c>
      <c r="D45" s="1">
        <v>15</v>
      </c>
      <c r="E45" s="1" t="s">
        <v>14</v>
      </c>
      <c r="F45" s="1">
        <v>26</v>
      </c>
      <c r="G45" s="1">
        <v>46</v>
      </c>
      <c r="H45" s="1">
        <v>81</v>
      </c>
      <c r="I45" s="1">
        <v>63</v>
      </c>
    </row>
    <row r="46" spans="1:9" x14ac:dyDescent="0.35">
      <c r="A46" s="1">
        <v>45</v>
      </c>
      <c r="B46" s="1" t="s">
        <v>58</v>
      </c>
      <c r="C46" s="1" t="s">
        <v>13</v>
      </c>
      <c r="D46" s="1">
        <v>15</v>
      </c>
      <c r="E46" s="1" t="s">
        <v>11</v>
      </c>
      <c r="F46" s="1">
        <v>65</v>
      </c>
      <c r="G46" s="1">
        <v>7</v>
      </c>
      <c r="H46" s="1">
        <v>57</v>
      </c>
      <c r="I46" s="1">
        <v>27</v>
      </c>
    </row>
    <row r="47" spans="1:9" x14ac:dyDescent="0.35">
      <c r="A47" s="1">
        <v>46</v>
      </c>
      <c r="B47" s="1" t="s">
        <v>59</v>
      </c>
      <c r="C47" s="1" t="s">
        <v>13</v>
      </c>
      <c r="D47" s="1">
        <v>14</v>
      </c>
      <c r="E47" s="1" t="s">
        <v>18</v>
      </c>
      <c r="F47" s="1">
        <v>50</v>
      </c>
      <c r="G47" s="1">
        <v>22</v>
      </c>
      <c r="H47" s="1">
        <v>50</v>
      </c>
      <c r="I47" s="1">
        <v>78</v>
      </c>
    </row>
    <row r="48" spans="1:9" x14ac:dyDescent="0.35">
      <c r="A48" s="1">
        <v>47</v>
      </c>
      <c r="B48" s="1" t="s">
        <v>60</v>
      </c>
      <c r="C48" s="1" t="s">
        <v>10</v>
      </c>
      <c r="D48" s="1">
        <v>14</v>
      </c>
      <c r="E48" s="1" t="s">
        <v>18</v>
      </c>
      <c r="F48" s="1">
        <v>84</v>
      </c>
      <c r="G48" s="1">
        <v>57</v>
      </c>
      <c r="H48" s="1">
        <v>25</v>
      </c>
      <c r="I48" s="1">
        <v>57</v>
      </c>
    </row>
    <row r="49" spans="1:9" x14ac:dyDescent="0.35">
      <c r="A49" s="1">
        <v>48</v>
      </c>
      <c r="B49" s="1" t="s">
        <v>61</v>
      </c>
      <c r="C49" s="1" t="s">
        <v>10</v>
      </c>
      <c r="D49" s="1">
        <v>15</v>
      </c>
      <c r="E49" s="1" t="s">
        <v>11</v>
      </c>
      <c r="F49" s="1">
        <v>78</v>
      </c>
      <c r="G49" s="1">
        <v>58</v>
      </c>
      <c r="H49" s="1">
        <v>1</v>
      </c>
      <c r="I49" s="1">
        <v>33</v>
      </c>
    </row>
    <row r="50" spans="1:9" x14ac:dyDescent="0.35">
      <c r="A50" s="1">
        <v>49</v>
      </c>
      <c r="B50" s="1" t="s">
        <v>62</v>
      </c>
      <c r="C50" s="1" t="s">
        <v>13</v>
      </c>
      <c r="D50" s="1">
        <v>13</v>
      </c>
      <c r="E50" s="1" t="s">
        <v>14</v>
      </c>
      <c r="F50" s="1">
        <v>81</v>
      </c>
      <c r="G50" s="1">
        <v>25</v>
      </c>
      <c r="H50" s="1">
        <v>99</v>
      </c>
      <c r="I50" s="1">
        <v>13</v>
      </c>
    </row>
    <row r="51" spans="1:9" x14ac:dyDescent="0.35">
      <c r="A51" s="1">
        <v>50</v>
      </c>
      <c r="B51" s="1" t="s">
        <v>63</v>
      </c>
      <c r="C51" s="1" t="s">
        <v>13</v>
      </c>
      <c r="D51" s="1">
        <v>14</v>
      </c>
      <c r="E51" s="1" t="s">
        <v>18</v>
      </c>
      <c r="F51" s="1">
        <v>94</v>
      </c>
      <c r="G51" s="1">
        <v>15</v>
      </c>
      <c r="H51" s="1">
        <v>66</v>
      </c>
      <c r="I51" s="1">
        <v>34</v>
      </c>
    </row>
    <row r="52" spans="1:9" x14ac:dyDescent="0.35">
      <c r="A52" s="1">
        <v>51</v>
      </c>
      <c r="B52" s="1" t="s">
        <v>64</v>
      </c>
      <c r="C52" s="1" t="s">
        <v>13</v>
      </c>
      <c r="D52" s="1">
        <v>14</v>
      </c>
      <c r="E52" s="1" t="s">
        <v>11</v>
      </c>
      <c r="F52" s="1">
        <v>31</v>
      </c>
      <c r="G52" s="1">
        <v>37</v>
      </c>
      <c r="H52" s="1">
        <v>77</v>
      </c>
      <c r="I52" s="1">
        <v>79</v>
      </c>
    </row>
    <row r="53" spans="1:9" x14ac:dyDescent="0.35">
      <c r="A53" s="1">
        <v>52</v>
      </c>
      <c r="B53" s="1" t="s">
        <v>65</v>
      </c>
      <c r="C53" s="1" t="s">
        <v>10</v>
      </c>
      <c r="D53" s="1">
        <v>13</v>
      </c>
      <c r="E53" s="1" t="s">
        <v>18</v>
      </c>
      <c r="F53" s="1">
        <v>17</v>
      </c>
      <c r="G53" s="1">
        <v>99</v>
      </c>
      <c r="H53" s="1">
        <v>29</v>
      </c>
      <c r="I53" s="1">
        <v>85</v>
      </c>
    </row>
    <row r="54" spans="1:9" x14ac:dyDescent="0.35">
      <c r="A54" s="1">
        <v>53</v>
      </c>
      <c r="B54" s="1" t="s">
        <v>66</v>
      </c>
      <c r="C54" s="1" t="s">
        <v>10</v>
      </c>
      <c r="D54" s="1">
        <v>15</v>
      </c>
      <c r="E54" s="1" t="s">
        <v>14</v>
      </c>
      <c r="F54" s="1">
        <v>15</v>
      </c>
      <c r="G54" s="1">
        <v>84</v>
      </c>
      <c r="H54" s="1">
        <v>40</v>
      </c>
      <c r="I54" s="1">
        <v>40</v>
      </c>
    </row>
    <row r="55" spans="1:9" x14ac:dyDescent="0.35">
      <c r="A55" s="1">
        <v>54</v>
      </c>
      <c r="B55" s="1" t="s">
        <v>67</v>
      </c>
      <c r="C55" s="1" t="s">
        <v>13</v>
      </c>
      <c r="D55" s="1">
        <v>15</v>
      </c>
      <c r="E55" s="1" t="s">
        <v>11</v>
      </c>
      <c r="F55" s="1">
        <v>23</v>
      </c>
      <c r="G55" s="1">
        <v>44</v>
      </c>
      <c r="H55" s="1">
        <v>76</v>
      </c>
      <c r="I55" s="1">
        <v>46</v>
      </c>
    </row>
    <row r="56" spans="1:9" x14ac:dyDescent="0.35">
      <c r="A56" s="1">
        <v>55</v>
      </c>
      <c r="B56" s="1" t="s">
        <v>68</v>
      </c>
      <c r="C56" s="1" t="s">
        <v>13</v>
      </c>
      <c r="D56" s="1">
        <v>15</v>
      </c>
      <c r="E56" s="1" t="s">
        <v>14</v>
      </c>
      <c r="F56" s="1">
        <v>55</v>
      </c>
      <c r="G56" s="1">
        <v>64</v>
      </c>
      <c r="H56" s="1">
        <v>56</v>
      </c>
      <c r="I56" s="1">
        <v>69</v>
      </c>
    </row>
    <row r="57" spans="1:9" x14ac:dyDescent="0.35">
      <c r="A57" s="1">
        <v>56</v>
      </c>
      <c r="B57" s="1" t="s">
        <v>69</v>
      </c>
      <c r="C57" s="1" t="s">
        <v>10</v>
      </c>
      <c r="D57" s="1">
        <v>14</v>
      </c>
      <c r="E57" s="1" t="s">
        <v>14</v>
      </c>
      <c r="F57" s="1">
        <v>53</v>
      </c>
      <c r="G57" s="1">
        <v>53</v>
      </c>
      <c r="H57" s="1">
        <v>49</v>
      </c>
      <c r="I57" s="1">
        <v>43</v>
      </c>
    </row>
    <row r="58" spans="1:9" x14ac:dyDescent="0.35">
      <c r="A58" s="1">
        <v>57</v>
      </c>
      <c r="B58" s="1" t="s">
        <v>70</v>
      </c>
      <c r="C58" s="1" t="s">
        <v>13</v>
      </c>
      <c r="D58" s="1">
        <v>15</v>
      </c>
      <c r="E58" s="1" t="s">
        <v>18</v>
      </c>
      <c r="F58" s="1">
        <v>46</v>
      </c>
      <c r="G58" s="1">
        <v>37</v>
      </c>
      <c r="H58" s="1">
        <v>63</v>
      </c>
      <c r="I58" s="1">
        <v>17</v>
      </c>
    </row>
    <row r="59" spans="1:9" x14ac:dyDescent="0.35">
      <c r="A59" s="1">
        <v>58</v>
      </c>
      <c r="B59" s="1" t="s">
        <v>71</v>
      </c>
      <c r="C59" s="1" t="s">
        <v>13</v>
      </c>
      <c r="D59" s="1">
        <v>14</v>
      </c>
      <c r="E59" s="1" t="s">
        <v>18</v>
      </c>
      <c r="F59" s="1">
        <v>64</v>
      </c>
      <c r="G59" s="1">
        <v>1</v>
      </c>
      <c r="H59" s="1">
        <v>74</v>
      </c>
      <c r="I59" s="1">
        <v>6</v>
      </c>
    </row>
    <row r="60" spans="1:9" x14ac:dyDescent="0.35">
      <c r="A60" s="1">
        <v>59</v>
      </c>
      <c r="B60" s="1" t="s">
        <v>72</v>
      </c>
      <c r="C60" s="1" t="s">
        <v>10</v>
      </c>
      <c r="D60" s="1">
        <v>14</v>
      </c>
      <c r="E60" s="1" t="s">
        <v>11</v>
      </c>
      <c r="F60" s="1">
        <v>41</v>
      </c>
      <c r="G60" s="1">
        <v>37</v>
      </c>
      <c r="H60" s="1">
        <v>26</v>
      </c>
      <c r="I60" s="1">
        <v>65</v>
      </c>
    </row>
    <row r="61" spans="1:9" x14ac:dyDescent="0.35">
      <c r="A61" s="1">
        <v>60</v>
      </c>
      <c r="B61" s="1" t="s">
        <v>73</v>
      </c>
      <c r="C61" s="1" t="s">
        <v>10</v>
      </c>
      <c r="D61" s="1">
        <v>14</v>
      </c>
      <c r="E61" s="1" t="s">
        <v>14</v>
      </c>
      <c r="F61" s="1">
        <v>61</v>
      </c>
      <c r="G61" s="1">
        <v>71</v>
      </c>
      <c r="H61" s="1">
        <v>77</v>
      </c>
      <c r="I61" s="1">
        <v>64</v>
      </c>
    </row>
    <row r="62" spans="1:9" x14ac:dyDescent="0.35">
      <c r="A62" s="1">
        <v>61</v>
      </c>
      <c r="B62" s="1" t="s">
        <v>74</v>
      </c>
      <c r="C62" s="1" t="s">
        <v>10</v>
      </c>
      <c r="D62" s="1">
        <v>14</v>
      </c>
      <c r="E62" s="1" t="s">
        <v>11</v>
      </c>
      <c r="F62" s="1">
        <v>16</v>
      </c>
      <c r="G62" s="1">
        <v>57</v>
      </c>
      <c r="H62" s="1">
        <v>90</v>
      </c>
      <c r="I62" s="1">
        <v>14</v>
      </c>
    </row>
    <row r="63" spans="1:9" x14ac:dyDescent="0.35">
      <c r="A63" s="1">
        <v>62</v>
      </c>
      <c r="B63" s="1" t="s">
        <v>75</v>
      </c>
      <c r="C63" s="1" t="s">
        <v>10</v>
      </c>
      <c r="D63" s="1">
        <v>13</v>
      </c>
      <c r="E63" s="1" t="s">
        <v>11</v>
      </c>
      <c r="F63" s="1">
        <v>49</v>
      </c>
      <c r="G63" s="1">
        <v>90</v>
      </c>
      <c r="H63" s="1">
        <v>13</v>
      </c>
      <c r="I63" s="1">
        <v>98</v>
      </c>
    </row>
    <row r="64" spans="1:9" x14ac:dyDescent="0.35">
      <c r="A64" s="1">
        <v>63</v>
      </c>
      <c r="B64" s="1" t="s">
        <v>76</v>
      </c>
      <c r="C64" s="1" t="s">
        <v>13</v>
      </c>
      <c r="D64" s="1">
        <v>14</v>
      </c>
      <c r="E64" s="1" t="s">
        <v>18</v>
      </c>
      <c r="F64" s="1">
        <v>16</v>
      </c>
      <c r="G64" s="1">
        <v>45</v>
      </c>
      <c r="H64" s="1">
        <v>44</v>
      </c>
      <c r="I64" s="1">
        <v>5</v>
      </c>
    </row>
    <row r="65" spans="1:9" x14ac:dyDescent="0.35">
      <c r="A65" s="1">
        <v>64</v>
      </c>
      <c r="B65" s="1" t="s">
        <v>77</v>
      </c>
      <c r="C65" s="1" t="s">
        <v>13</v>
      </c>
      <c r="D65" s="1">
        <v>15</v>
      </c>
      <c r="E65" s="1" t="s">
        <v>14</v>
      </c>
      <c r="F65" s="1">
        <v>78</v>
      </c>
      <c r="G65" s="1">
        <v>74</v>
      </c>
      <c r="H65" s="1">
        <v>31</v>
      </c>
      <c r="I65" s="1">
        <v>85</v>
      </c>
    </row>
    <row r="66" spans="1:9" x14ac:dyDescent="0.35">
      <c r="A66" s="1">
        <v>65</v>
      </c>
      <c r="B66" s="1" t="s">
        <v>78</v>
      </c>
      <c r="C66" s="1" t="s">
        <v>10</v>
      </c>
      <c r="D66" s="1">
        <v>14</v>
      </c>
      <c r="E66" s="1" t="s">
        <v>11</v>
      </c>
      <c r="F66" s="1">
        <v>88</v>
      </c>
      <c r="G66" s="1">
        <v>72</v>
      </c>
      <c r="H66" s="1">
        <v>31</v>
      </c>
      <c r="I66" s="1">
        <v>27</v>
      </c>
    </row>
    <row r="67" spans="1:9" x14ac:dyDescent="0.35">
      <c r="A67" s="1">
        <v>66</v>
      </c>
      <c r="B67" s="1" t="s">
        <v>79</v>
      </c>
      <c r="C67" s="1" t="s">
        <v>10</v>
      </c>
      <c r="D67" s="1">
        <v>14</v>
      </c>
      <c r="E67" s="1" t="s">
        <v>11</v>
      </c>
      <c r="F67" s="1">
        <v>85</v>
      </c>
      <c r="G67" s="1">
        <v>6</v>
      </c>
      <c r="H67" s="1">
        <v>10</v>
      </c>
      <c r="I67" s="1">
        <v>85</v>
      </c>
    </row>
    <row r="68" spans="1:9" x14ac:dyDescent="0.35">
      <c r="A68" s="1">
        <v>67</v>
      </c>
      <c r="B68" s="1" t="s">
        <v>80</v>
      </c>
      <c r="C68" s="1" t="s">
        <v>10</v>
      </c>
      <c r="D68" s="1">
        <v>15</v>
      </c>
      <c r="E68" s="1" t="s">
        <v>11</v>
      </c>
      <c r="F68" s="1">
        <v>45</v>
      </c>
      <c r="G68" s="1">
        <v>41</v>
      </c>
      <c r="H68" s="1">
        <v>26</v>
      </c>
      <c r="I68" s="1">
        <v>12</v>
      </c>
    </row>
    <row r="69" spans="1:9" x14ac:dyDescent="0.35">
      <c r="A69" s="1">
        <v>68</v>
      </c>
      <c r="B69" s="1" t="s">
        <v>81</v>
      </c>
      <c r="C69" s="1" t="s">
        <v>13</v>
      </c>
      <c r="D69" s="1">
        <v>15</v>
      </c>
      <c r="E69" s="1" t="s">
        <v>11</v>
      </c>
      <c r="F69" s="1">
        <v>39</v>
      </c>
      <c r="G69" s="1">
        <v>7</v>
      </c>
      <c r="H69" s="1">
        <v>100</v>
      </c>
      <c r="I69" s="1">
        <v>70</v>
      </c>
    </row>
    <row r="70" spans="1:9" x14ac:dyDescent="0.35">
      <c r="A70" s="1">
        <v>69</v>
      </c>
      <c r="B70" s="1" t="s">
        <v>82</v>
      </c>
      <c r="C70" s="1" t="s">
        <v>10</v>
      </c>
      <c r="D70" s="1">
        <v>15</v>
      </c>
      <c r="E70" s="1" t="s">
        <v>18</v>
      </c>
      <c r="F70" s="1">
        <v>84</v>
      </c>
      <c r="G70" s="1">
        <v>97</v>
      </c>
      <c r="H70" s="1">
        <v>70</v>
      </c>
      <c r="I70" s="1">
        <v>96</v>
      </c>
    </row>
    <row r="71" spans="1:9" x14ac:dyDescent="0.35">
      <c r="A71" s="1">
        <v>70</v>
      </c>
      <c r="B71" s="1" t="s">
        <v>83</v>
      </c>
      <c r="C71" s="1" t="s">
        <v>10</v>
      </c>
      <c r="D71" s="1">
        <v>14</v>
      </c>
      <c r="E71" s="1" t="s">
        <v>14</v>
      </c>
      <c r="F71" s="1">
        <v>34</v>
      </c>
      <c r="G71" s="1">
        <v>71</v>
      </c>
      <c r="H71" s="1">
        <v>35</v>
      </c>
      <c r="I71" s="1">
        <v>47</v>
      </c>
    </row>
    <row r="72" spans="1:9" x14ac:dyDescent="0.35">
      <c r="A72" s="1">
        <v>71</v>
      </c>
      <c r="B72" s="1" t="s">
        <v>84</v>
      </c>
      <c r="C72" s="1" t="s">
        <v>10</v>
      </c>
      <c r="D72" s="1">
        <v>15</v>
      </c>
      <c r="E72" s="1" t="s">
        <v>11</v>
      </c>
      <c r="F72" s="1">
        <v>95</v>
      </c>
      <c r="G72" s="1">
        <v>32</v>
      </c>
      <c r="H72" s="1">
        <v>91</v>
      </c>
      <c r="I72" s="1">
        <v>48</v>
      </c>
    </row>
    <row r="73" spans="1:9" x14ac:dyDescent="0.35">
      <c r="A73" s="1">
        <v>72</v>
      </c>
      <c r="B73" s="1" t="s">
        <v>85</v>
      </c>
      <c r="C73" s="1" t="s">
        <v>13</v>
      </c>
      <c r="D73" s="1">
        <v>14</v>
      </c>
      <c r="E73" s="1" t="s">
        <v>11</v>
      </c>
      <c r="F73" s="1">
        <v>48</v>
      </c>
      <c r="G73" s="1">
        <v>59</v>
      </c>
      <c r="H73" s="1">
        <v>60</v>
      </c>
      <c r="I73" s="1">
        <v>58</v>
      </c>
    </row>
    <row r="74" spans="1:9" x14ac:dyDescent="0.35">
      <c r="A74" s="1">
        <v>73</v>
      </c>
      <c r="B74" s="1" t="s">
        <v>86</v>
      </c>
      <c r="C74" s="1" t="s">
        <v>13</v>
      </c>
      <c r="D74" s="1">
        <v>13</v>
      </c>
      <c r="E74" s="1" t="s">
        <v>18</v>
      </c>
      <c r="F74" s="1">
        <v>72</v>
      </c>
      <c r="G74" s="1">
        <v>78</v>
      </c>
      <c r="H74" s="1">
        <v>40</v>
      </c>
      <c r="I74" s="1">
        <v>78</v>
      </c>
    </row>
    <row r="75" spans="1:9" x14ac:dyDescent="0.35">
      <c r="A75" s="1">
        <v>74</v>
      </c>
      <c r="B75" s="1" t="s">
        <v>87</v>
      </c>
      <c r="C75" s="1" t="s">
        <v>13</v>
      </c>
      <c r="D75" s="1">
        <v>13</v>
      </c>
      <c r="E75" s="1" t="s">
        <v>14</v>
      </c>
      <c r="F75" s="1">
        <v>46</v>
      </c>
      <c r="G75" s="1">
        <v>89</v>
      </c>
      <c r="H75" s="1">
        <v>83</v>
      </c>
      <c r="I75" s="1">
        <v>64</v>
      </c>
    </row>
    <row r="76" spans="1:9" x14ac:dyDescent="0.35">
      <c r="A76" s="1">
        <v>75</v>
      </c>
      <c r="B76" s="1" t="s">
        <v>88</v>
      </c>
      <c r="C76" s="1" t="s">
        <v>10</v>
      </c>
      <c r="D76" s="1">
        <v>13</v>
      </c>
      <c r="E76" s="1" t="s">
        <v>14</v>
      </c>
      <c r="F76" s="1">
        <v>85</v>
      </c>
      <c r="G76" s="1">
        <v>10</v>
      </c>
      <c r="H76" s="1">
        <v>62</v>
      </c>
      <c r="I76" s="1">
        <v>62</v>
      </c>
    </row>
    <row r="77" spans="1:9" x14ac:dyDescent="0.35">
      <c r="A77" s="1">
        <v>76</v>
      </c>
      <c r="B77" s="1" t="s">
        <v>89</v>
      </c>
      <c r="C77" s="1" t="s">
        <v>13</v>
      </c>
      <c r="D77" s="1">
        <v>15</v>
      </c>
      <c r="E77" s="1" t="s">
        <v>11</v>
      </c>
      <c r="F77" s="1">
        <v>32</v>
      </c>
      <c r="G77" s="1">
        <v>31</v>
      </c>
      <c r="H77" s="1">
        <v>89</v>
      </c>
      <c r="I77" s="1">
        <v>30</v>
      </c>
    </row>
    <row r="78" spans="1:9" x14ac:dyDescent="0.35">
      <c r="A78" s="1">
        <v>77</v>
      </c>
      <c r="B78" s="1" t="s">
        <v>90</v>
      </c>
      <c r="C78" s="1" t="s">
        <v>10</v>
      </c>
      <c r="D78" s="1">
        <v>13</v>
      </c>
      <c r="E78" s="1" t="s">
        <v>14</v>
      </c>
      <c r="F78" s="1">
        <v>27</v>
      </c>
      <c r="G78" s="1">
        <v>2</v>
      </c>
      <c r="H78" s="1">
        <v>63</v>
      </c>
      <c r="I78" s="1">
        <v>100</v>
      </c>
    </row>
    <row r="79" spans="1:9" x14ac:dyDescent="0.35">
      <c r="A79" s="1">
        <v>78</v>
      </c>
      <c r="B79" s="1" t="s">
        <v>91</v>
      </c>
      <c r="C79" s="1" t="s">
        <v>13</v>
      </c>
      <c r="D79" s="1">
        <v>15</v>
      </c>
      <c r="E79" s="1" t="s">
        <v>14</v>
      </c>
      <c r="F79" s="1">
        <v>87</v>
      </c>
      <c r="G79" s="1">
        <v>45</v>
      </c>
      <c r="H79" s="1">
        <v>73</v>
      </c>
      <c r="I79" s="1">
        <v>48</v>
      </c>
    </row>
    <row r="80" spans="1:9" x14ac:dyDescent="0.35">
      <c r="A80" s="1">
        <v>79</v>
      </c>
      <c r="B80" s="1" t="s">
        <v>92</v>
      </c>
      <c r="C80" s="1" t="s">
        <v>13</v>
      </c>
      <c r="D80" s="1">
        <v>13</v>
      </c>
      <c r="E80" s="1" t="s">
        <v>11</v>
      </c>
      <c r="F80" s="1">
        <v>27</v>
      </c>
      <c r="G80" s="1">
        <v>96</v>
      </c>
      <c r="H80" s="1">
        <v>89</v>
      </c>
      <c r="I80" s="1">
        <v>49</v>
      </c>
    </row>
    <row r="81" spans="1:9" x14ac:dyDescent="0.35">
      <c r="A81" s="1">
        <v>80</v>
      </c>
      <c r="B81" s="1" t="s">
        <v>93</v>
      </c>
      <c r="C81" s="1" t="s">
        <v>13</v>
      </c>
      <c r="D81" s="1">
        <v>13</v>
      </c>
      <c r="E81" s="1" t="s">
        <v>14</v>
      </c>
      <c r="F81" s="1">
        <v>13</v>
      </c>
      <c r="G81" s="1">
        <v>18</v>
      </c>
      <c r="H81" s="1">
        <v>80</v>
      </c>
      <c r="I81" s="1">
        <v>82</v>
      </c>
    </row>
    <row r="82" spans="1:9" x14ac:dyDescent="0.35">
      <c r="A82" s="1">
        <v>81</v>
      </c>
      <c r="B82" s="1" t="s">
        <v>94</v>
      </c>
      <c r="C82" s="1" t="s">
        <v>13</v>
      </c>
      <c r="D82" s="1">
        <v>15</v>
      </c>
      <c r="E82" s="1" t="s">
        <v>18</v>
      </c>
      <c r="F82" s="1">
        <v>1</v>
      </c>
      <c r="G82" s="1">
        <v>90</v>
      </c>
      <c r="H82" s="1">
        <v>42</v>
      </c>
      <c r="I82" s="1">
        <v>94</v>
      </c>
    </row>
    <row r="83" spans="1:9" x14ac:dyDescent="0.35">
      <c r="A83" s="1">
        <v>82</v>
      </c>
      <c r="B83" s="1" t="s">
        <v>95</v>
      </c>
      <c r="C83" s="1" t="s">
        <v>13</v>
      </c>
      <c r="D83" s="1">
        <v>15</v>
      </c>
      <c r="E83" s="1" t="s">
        <v>11</v>
      </c>
      <c r="F83" s="1">
        <v>84</v>
      </c>
      <c r="G83" s="1">
        <v>85</v>
      </c>
      <c r="H83" s="1">
        <v>14</v>
      </c>
      <c r="I83" s="1">
        <v>24</v>
      </c>
    </row>
    <row r="84" spans="1:9" x14ac:dyDescent="0.35">
      <c r="A84" s="1">
        <v>83</v>
      </c>
      <c r="B84" s="1" t="s">
        <v>96</v>
      </c>
      <c r="C84" s="1" t="s">
        <v>13</v>
      </c>
      <c r="D84" s="1">
        <v>14</v>
      </c>
      <c r="E84" s="1" t="s">
        <v>18</v>
      </c>
      <c r="F84" s="1">
        <v>59</v>
      </c>
      <c r="G84" s="1">
        <v>12</v>
      </c>
      <c r="H84" s="1">
        <v>45</v>
      </c>
      <c r="I84" s="1">
        <v>64</v>
      </c>
    </row>
    <row r="85" spans="1:9" x14ac:dyDescent="0.35">
      <c r="A85" s="1">
        <v>84</v>
      </c>
      <c r="B85" s="1" t="s">
        <v>97</v>
      </c>
      <c r="C85" s="1" t="s">
        <v>13</v>
      </c>
      <c r="D85" s="1">
        <v>13</v>
      </c>
      <c r="E85" s="1" t="s">
        <v>11</v>
      </c>
      <c r="F85" s="1">
        <v>34</v>
      </c>
      <c r="G85" s="1">
        <v>18</v>
      </c>
      <c r="H85" s="1">
        <v>39</v>
      </c>
      <c r="I85" s="1">
        <v>94</v>
      </c>
    </row>
    <row r="86" spans="1:9" x14ac:dyDescent="0.35">
      <c r="A86" s="1">
        <v>85</v>
      </c>
      <c r="B86" s="1" t="s">
        <v>98</v>
      </c>
      <c r="C86" s="1" t="s">
        <v>10</v>
      </c>
      <c r="D86" s="1">
        <v>13</v>
      </c>
      <c r="E86" s="1" t="s">
        <v>11</v>
      </c>
      <c r="F86" s="1">
        <v>36</v>
      </c>
      <c r="G86" s="1">
        <v>95</v>
      </c>
      <c r="H86" s="1">
        <v>55</v>
      </c>
      <c r="I86" s="1">
        <v>46</v>
      </c>
    </row>
    <row r="87" spans="1:9" x14ac:dyDescent="0.35">
      <c r="A87" s="1">
        <v>86</v>
      </c>
      <c r="B87" s="1" t="s">
        <v>99</v>
      </c>
      <c r="C87" s="1" t="s">
        <v>13</v>
      </c>
      <c r="D87" s="1">
        <v>15</v>
      </c>
      <c r="E87" s="1" t="s">
        <v>11</v>
      </c>
      <c r="F87" s="1">
        <v>17</v>
      </c>
      <c r="G87" s="1">
        <v>75</v>
      </c>
      <c r="H87" s="1">
        <v>8</v>
      </c>
      <c r="I87" s="1">
        <v>71</v>
      </c>
    </row>
    <row r="88" spans="1:9" x14ac:dyDescent="0.35">
      <c r="A88" s="1">
        <v>87</v>
      </c>
      <c r="B88" s="1" t="s">
        <v>100</v>
      </c>
      <c r="C88" s="1" t="s">
        <v>10</v>
      </c>
      <c r="D88" s="1">
        <v>13</v>
      </c>
      <c r="E88" s="1" t="s">
        <v>18</v>
      </c>
      <c r="F88" s="1">
        <v>8</v>
      </c>
      <c r="G88" s="1">
        <v>72</v>
      </c>
      <c r="H88" s="1">
        <v>78</v>
      </c>
      <c r="I88" s="1">
        <v>14</v>
      </c>
    </row>
    <row r="89" spans="1:9" x14ac:dyDescent="0.35">
      <c r="A89" s="1">
        <v>88</v>
      </c>
      <c r="B89" s="1" t="s">
        <v>101</v>
      </c>
      <c r="C89" s="1" t="s">
        <v>10</v>
      </c>
      <c r="D89" s="1">
        <v>15</v>
      </c>
      <c r="E89" s="1" t="s">
        <v>11</v>
      </c>
      <c r="F89" s="1">
        <v>44</v>
      </c>
      <c r="G89" s="1">
        <v>55</v>
      </c>
      <c r="H89" s="1">
        <v>51</v>
      </c>
      <c r="I89" s="1">
        <v>100</v>
      </c>
    </row>
    <row r="90" spans="1:9" x14ac:dyDescent="0.35">
      <c r="A90" s="1">
        <v>89</v>
      </c>
      <c r="B90" s="1" t="s">
        <v>102</v>
      </c>
      <c r="C90" s="1" t="s">
        <v>10</v>
      </c>
      <c r="D90" s="1">
        <v>15</v>
      </c>
      <c r="E90" s="1" t="s">
        <v>18</v>
      </c>
      <c r="F90" s="1">
        <v>58</v>
      </c>
      <c r="G90" s="1">
        <v>16</v>
      </c>
      <c r="H90" s="1">
        <v>64</v>
      </c>
      <c r="I90" s="1">
        <v>67</v>
      </c>
    </row>
    <row r="91" spans="1:9" x14ac:dyDescent="0.35">
      <c r="A91" s="1">
        <v>90</v>
      </c>
      <c r="B91" s="1" t="s">
        <v>103</v>
      </c>
      <c r="C91" s="1" t="s">
        <v>13</v>
      </c>
      <c r="D91" s="1">
        <v>15</v>
      </c>
      <c r="E91" s="1" t="s">
        <v>11</v>
      </c>
      <c r="F91" s="1">
        <v>64</v>
      </c>
      <c r="G91" s="1">
        <v>20</v>
      </c>
      <c r="H91" s="1">
        <v>86</v>
      </c>
      <c r="I91" s="1">
        <v>84</v>
      </c>
    </row>
    <row r="92" spans="1:9" x14ac:dyDescent="0.35">
      <c r="A92" s="1">
        <v>91</v>
      </c>
      <c r="B92" s="1" t="s">
        <v>104</v>
      </c>
      <c r="C92" s="1" t="s">
        <v>13</v>
      </c>
      <c r="D92" s="1">
        <v>13</v>
      </c>
      <c r="E92" s="1" t="s">
        <v>11</v>
      </c>
      <c r="F92" s="1">
        <v>23</v>
      </c>
      <c r="G92" s="1">
        <v>2</v>
      </c>
      <c r="H92" s="1">
        <v>42</v>
      </c>
      <c r="I92" s="1">
        <v>43</v>
      </c>
    </row>
    <row r="93" spans="1:9" x14ac:dyDescent="0.35">
      <c r="A93" s="1">
        <v>92</v>
      </c>
      <c r="B93" s="1" t="s">
        <v>105</v>
      </c>
      <c r="C93" s="1" t="s">
        <v>10</v>
      </c>
      <c r="D93" s="1">
        <v>15</v>
      </c>
      <c r="E93" s="1" t="s">
        <v>18</v>
      </c>
      <c r="F93" s="1">
        <v>79</v>
      </c>
      <c r="G93" s="1">
        <v>82</v>
      </c>
      <c r="H93" s="1">
        <v>99</v>
      </c>
      <c r="I93" s="1">
        <v>81</v>
      </c>
    </row>
    <row r="94" spans="1:9" x14ac:dyDescent="0.35">
      <c r="A94" s="1">
        <v>93</v>
      </c>
      <c r="B94" s="1" t="s">
        <v>106</v>
      </c>
      <c r="C94" s="1" t="s">
        <v>10</v>
      </c>
      <c r="D94" s="1">
        <v>15</v>
      </c>
      <c r="E94" s="1" t="s">
        <v>18</v>
      </c>
      <c r="F94" s="1">
        <v>22</v>
      </c>
      <c r="G94" s="1">
        <v>86</v>
      </c>
      <c r="H94" s="1">
        <v>9</v>
      </c>
      <c r="I94" s="1">
        <v>38</v>
      </c>
    </row>
    <row r="95" spans="1:9" x14ac:dyDescent="0.35">
      <c r="A95" s="1">
        <v>94</v>
      </c>
      <c r="B95" s="1" t="s">
        <v>107</v>
      </c>
      <c r="C95" s="1" t="s">
        <v>10</v>
      </c>
      <c r="D95" s="1">
        <v>13</v>
      </c>
      <c r="E95" s="1" t="s">
        <v>18</v>
      </c>
      <c r="F95" s="1">
        <v>43</v>
      </c>
      <c r="G95" s="1">
        <v>65</v>
      </c>
      <c r="H95" s="1">
        <v>18</v>
      </c>
      <c r="I95" s="1">
        <v>26</v>
      </c>
    </row>
    <row r="96" spans="1:9" x14ac:dyDescent="0.35">
      <c r="A96" s="1">
        <v>95</v>
      </c>
      <c r="B96" s="1" t="s">
        <v>108</v>
      </c>
      <c r="C96" s="1" t="s">
        <v>13</v>
      </c>
      <c r="D96" s="1">
        <v>14</v>
      </c>
      <c r="E96" s="1" t="s">
        <v>18</v>
      </c>
      <c r="F96" s="1">
        <v>64</v>
      </c>
      <c r="G96" s="1">
        <v>18</v>
      </c>
      <c r="H96" s="1">
        <v>73</v>
      </c>
      <c r="I96" s="1">
        <v>37</v>
      </c>
    </row>
    <row r="97" spans="1:9" x14ac:dyDescent="0.35">
      <c r="A97" s="1">
        <v>96</v>
      </c>
      <c r="B97" s="1" t="s">
        <v>109</v>
      </c>
      <c r="C97" s="1" t="s">
        <v>10</v>
      </c>
      <c r="D97" s="1">
        <v>15</v>
      </c>
      <c r="E97" s="1" t="s">
        <v>18</v>
      </c>
      <c r="F97" s="1">
        <v>58</v>
      </c>
      <c r="G97" s="1">
        <v>10</v>
      </c>
      <c r="H97" s="1">
        <v>99</v>
      </c>
      <c r="I97" s="1">
        <v>44</v>
      </c>
    </row>
    <row r="98" spans="1:9" x14ac:dyDescent="0.35">
      <c r="A98" s="1">
        <v>97</v>
      </c>
      <c r="B98" s="1" t="s">
        <v>110</v>
      </c>
      <c r="C98" s="1" t="s">
        <v>13</v>
      </c>
      <c r="D98" s="1">
        <v>13</v>
      </c>
      <c r="E98" s="1" t="s">
        <v>18</v>
      </c>
      <c r="F98" s="1">
        <v>19</v>
      </c>
      <c r="G98" s="1">
        <v>98</v>
      </c>
      <c r="H98" s="1">
        <v>13</v>
      </c>
      <c r="I98" s="1">
        <v>86</v>
      </c>
    </row>
    <row r="99" spans="1:9" x14ac:dyDescent="0.35">
      <c r="A99" s="1">
        <v>98</v>
      </c>
      <c r="B99" s="1" t="s">
        <v>111</v>
      </c>
      <c r="C99" s="1" t="s">
        <v>13</v>
      </c>
      <c r="D99" s="1">
        <v>14</v>
      </c>
      <c r="E99" s="1" t="s">
        <v>18</v>
      </c>
      <c r="F99" s="1">
        <v>40</v>
      </c>
      <c r="G99" s="1">
        <v>61</v>
      </c>
      <c r="H99" s="1">
        <v>63</v>
      </c>
      <c r="I99" s="1">
        <v>80</v>
      </c>
    </row>
    <row r="100" spans="1:9" x14ac:dyDescent="0.35">
      <c r="A100" s="1">
        <v>99</v>
      </c>
      <c r="B100" s="1" t="s">
        <v>112</v>
      </c>
      <c r="C100" s="1" t="s">
        <v>13</v>
      </c>
      <c r="D100" s="1">
        <v>14</v>
      </c>
      <c r="E100" s="1" t="s">
        <v>11</v>
      </c>
      <c r="F100" s="1">
        <v>72</v>
      </c>
      <c r="G100" s="1">
        <v>51</v>
      </c>
      <c r="H100" s="1">
        <v>50</v>
      </c>
      <c r="I100" s="1">
        <v>11</v>
      </c>
    </row>
    <row r="101" spans="1:9" x14ac:dyDescent="0.35">
      <c r="A101" s="1">
        <v>100</v>
      </c>
      <c r="B101" s="1" t="s">
        <v>113</v>
      </c>
      <c r="C101" s="1" t="s">
        <v>10</v>
      </c>
      <c r="D101" s="1">
        <v>15</v>
      </c>
      <c r="E101" s="1" t="s">
        <v>18</v>
      </c>
      <c r="F101" s="1">
        <v>66</v>
      </c>
      <c r="G101" s="1">
        <v>20</v>
      </c>
      <c r="H101" s="1">
        <v>76</v>
      </c>
      <c r="I101" s="1">
        <v>30</v>
      </c>
    </row>
    <row r="102" spans="1:9" x14ac:dyDescent="0.35">
      <c r="A102" s="1">
        <v>101</v>
      </c>
      <c r="B102" s="1" t="s">
        <v>114</v>
      </c>
      <c r="C102" s="1" t="s">
        <v>13</v>
      </c>
      <c r="D102" s="1">
        <v>14</v>
      </c>
      <c r="E102" s="1" t="s">
        <v>18</v>
      </c>
      <c r="F102" s="1">
        <v>64</v>
      </c>
      <c r="G102" s="1">
        <v>68</v>
      </c>
      <c r="H102" s="1">
        <v>89</v>
      </c>
      <c r="I102" s="1">
        <v>43</v>
      </c>
    </row>
    <row r="103" spans="1:9" x14ac:dyDescent="0.35">
      <c r="A103" s="1">
        <v>102</v>
      </c>
      <c r="B103" s="1" t="s">
        <v>115</v>
      </c>
      <c r="C103" s="1" t="s">
        <v>10</v>
      </c>
      <c r="D103" s="1">
        <v>13</v>
      </c>
      <c r="E103" s="1" t="s">
        <v>14</v>
      </c>
      <c r="F103" s="1">
        <v>80</v>
      </c>
      <c r="G103" s="1">
        <v>28</v>
      </c>
      <c r="H103" s="1">
        <v>53</v>
      </c>
      <c r="I103" s="1">
        <v>67</v>
      </c>
    </row>
    <row r="104" spans="1:9" x14ac:dyDescent="0.35">
      <c r="A104" s="1">
        <v>103</v>
      </c>
      <c r="B104" s="1" t="s">
        <v>116</v>
      </c>
      <c r="C104" s="1" t="s">
        <v>10</v>
      </c>
      <c r="D104" s="1">
        <v>13</v>
      </c>
      <c r="E104" s="1" t="s">
        <v>11</v>
      </c>
      <c r="F104" s="1">
        <v>2</v>
      </c>
      <c r="G104" s="1">
        <v>19</v>
      </c>
      <c r="H104" s="1">
        <v>48</v>
      </c>
      <c r="I104" s="1">
        <v>52</v>
      </c>
    </row>
    <row r="105" spans="1:9" x14ac:dyDescent="0.35">
      <c r="A105" s="1">
        <v>104</v>
      </c>
      <c r="B105" s="1" t="s">
        <v>117</v>
      </c>
      <c r="C105" s="1" t="s">
        <v>13</v>
      </c>
      <c r="D105" s="1">
        <v>15</v>
      </c>
      <c r="E105" s="1" t="s">
        <v>18</v>
      </c>
      <c r="F105" s="1">
        <v>37</v>
      </c>
      <c r="G105" s="1">
        <v>57</v>
      </c>
      <c r="H105" s="1">
        <v>48</v>
      </c>
      <c r="I105" s="1">
        <v>75</v>
      </c>
    </row>
    <row r="106" spans="1:9" x14ac:dyDescent="0.35">
      <c r="A106" s="1">
        <v>105</v>
      </c>
      <c r="B106" s="1" t="s">
        <v>118</v>
      </c>
      <c r="C106" s="1" t="s">
        <v>13</v>
      </c>
      <c r="D106" s="1">
        <v>13</v>
      </c>
      <c r="E106" s="1" t="s">
        <v>14</v>
      </c>
      <c r="F106" s="1">
        <v>68</v>
      </c>
      <c r="G106" s="1">
        <v>97</v>
      </c>
      <c r="H106" s="1">
        <v>31</v>
      </c>
      <c r="I106" s="1">
        <v>48</v>
      </c>
    </row>
    <row r="107" spans="1:9" x14ac:dyDescent="0.35">
      <c r="A107" s="1">
        <v>106</v>
      </c>
      <c r="B107" s="1" t="s">
        <v>119</v>
      </c>
      <c r="C107" s="1" t="s">
        <v>10</v>
      </c>
      <c r="D107" s="1">
        <v>14</v>
      </c>
      <c r="E107" s="1" t="s">
        <v>11</v>
      </c>
      <c r="F107" s="1">
        <v>62</v>
      </c>
      <c r="G107" s="1">
        <v>4</v>
      </c>
      <c r="H107" s="1">
        <v>75</v>
      </c>
      <c r="I107" s="1">
        <v>32</v>
      </c>
    </row>
    <row r="108" spans="1:9" x14ac:dyDescent="0.35">
      <c r="A108" s="1">
        <v>107</v>
      </c>
      <c r="B108" s="1" t="s">
        <v>120</v>
      </c>
      <c r="C108" s="1" t="s">
        <v>10</v>
      </c>
      <c r="D108" s="1">
        <v>14</v>
      </c>
      <c r="E108" s="1" t="s">
        <v>11</v>
      </c>
      <c r="F108" s="1">
        <v>57</v>
      </c>
      <c r="G108" s="1">
        <v>68</v>
      </c>
      <c r="H108" s="1">
        <v>13</v>
      </c>
      <c r="I108" s="1">
        <v>74</v>
      </c>
    </row>
    <row r="109" spans="1:9" x14ac:dyDescent="0.35">
      <c r="A109" s="1">
        <v>108</v>
      </c>
      <c r="B109" s="1" t="s">
        <v>121</v>
      </c>
      <c r="C109" s="1" t="s">
        <v>10</v>
      </c>
      <c r="D109" s="1">
        <v>14</v>
      </c>
      <c r="E109" s="1" t="s">
        <v>14</v>
      </c>
      <c r="F109" s="1">
        <v>56</v>
      </c>
      <c r="G109" s="1">
        <v>75</v>
      </c>
      <c r="H109" s="1">
        <v>5</v>
      </c>
      <c r="I109" s="1">
        <v>40</v>
      </c>
    </row>
    <row r="110" spans="1:9" x14ac:dyDescent="0.35">
      <c r="A110" s="1">
        <v>109</v>
      </c>
      <c r="B110" s="1" t="s">
        <v>122</v>
      </c>
      <c r="C110" s="1" t="s">
        <v>13</v>
      </c>
      <c r="D110" s="1">
        <v>14</v>
      </c>
      <c r="E110" s="1" t="s">
        <v>11</v>
      </c>
      <c r="F110" s="1">
        <v>11</v>
      </c>
      <c r="G110" s="1">
        <v>30</v>
      </c>
      <c r="H110" s="1">
        <v>83</v>
      </c>
      <c r="I110" s="1">
        <v>17</v>
      </c>
    </row>
    <row r="111" spans="1:9" x14ac:dyDescent="0.35">
      <c r="A111" s="1">
        <v>110</v>
      </c>
      <c r="B111" s="1" t="s">
        <v>123</v>
      </c>
      <c r="C111" s="1" t="s">
        <v>10</v>
      </c>
      <c r="D111" s="1">
        <v>14</v>
      </c>
      <c r="E111" s="1" t="s">
        <v>14</v>
      </c>
      <c r="F111" s="1">
        <v>82</v>
      </c>
      <c r="G111" s="1">
        <v>54</v>
      </c>
      <c r="H111" s="1">
        <v>31</v>
      </c>
      <c r="I111" s="1">
        <v>18</v>
      </c>
    </row>
    <row r="112" spans="1:9" x14ac:dyDescent="0.35">
      <c r="A112" s="1">
        <v>111</v>
      </c>
      <c r="B112" s="1" t="s">
        <v>124</v>
      </c>
      <c r="C112" s="1" t="s">
        <v>13</v>
      </c>
      <c r="D112" s="1">
        <v>13</v>
      </c>
      <c r="E112" s="1" t="s">
        <v>18</v>
      </c>
      <c r="F112" s="1">
        <v>2</v>
      </c>
      <c r="G112" s="1">
        <v>39</v>
      </c>
      <c r="H112" s="1">
        <v>13</v>
      </c>
      <c r="I112" s="1">
        <v>69</v>
      </c>
    </row>
    <row r="113" spans="1:9" x14ac:dyDescent="0.35">
      <c r="A113" s="1">
        <v>112</v>
      </c>
      <c r="B113" s="1" t="s">
        <v>125</v>
      </c>
      <c r="C113" s="1" t="s">
        <v>10</v>
      </c>
      <c r="D113" s="1">
        <v>15</v>
      </c>
      <c r="E113" s="1" t="s">
        <v>18</v>
      </c>
      <c r="F113" s="1">
        <v>23</v>
      </c>
      <c r="G113" s="1">
        <v>65</v>
      </c>
      <c r="H113" s="1">
        <v>72</v>
      </c>
      <c r="I113" s="1">
        <v>51</v>
      </c>
    </row>
    <row r="114" spans="1:9" x14ac:dyDescent="0.35">
      <c r="A114" s="1">
        <v>113</v>
      </c>
      <c r="B114" s="1" t="s">
        <v>126</v>
      </c>
      <c r="C114" s="1" t="s">
        <v>13</v>
      </c>
      <c r="D114" s="1">
        <v>13</v>
      </c>
      <c r="E114" s="1" t="s">
        <v>11</v>
      </c>
      <c r="F114" s="1">
        <v>22</v>
      </c>
      <c r="G114" s="1">
        <v>78</v>
      </c>
      <c r="H114" s="1">
        <v>77</v>
      </c>
      <c r="I114" s="1">
        <v>26</v>
      </c>
    </row>
    <row r="115" spans="1:9" x14ac:dyDescent="0.35">
      <c r="A115" s="1">
        <v>114</v>
      </c>
      <c r="B115" s="1" t="s">
        <v>127</v>
      </c>
      <c r="C115" s="1" t="s">
        <v>13</v>
      </c>
      <c r="D115" s="1">
        <v>14</v>
      </c>
      <c r="E115" s="1" t="s">
        <v>18</v>
      </c>
      <c r="F115" s="1">
        <v>41</v>
      </c>
      <c r="G115" s="1">
        <v>52</v>
      </c>
      <c r="H115" s="1">
        <v>29</v>
      </c>
      <c r="I115" s="1">
        <v>21</v>
      </c>
    </row>
    <row r="116" spans="1:9" x14ac:dyDescent="0.35">
      <c r="A116" s="1">
        <v>115</v>
      </c>
      <c r="B116" s="1" t="s">
        <v>128</v>
      </c>
      <c r="C116" s="1" t="s">
        <v>10</v>
      </c>
      <c r="D116" s="1">
        <v>13</v>
      </c>
      <c r="E116" s="1" t="s">
        <v>11</v>
      </c>
      <c r="F116" s="1">
        <v>23</v>
      </c>
      <c r="G116" s="1">
        <v>13</v>
      </c>
      <c r="H116" s="1">
        <v>28</v>
      </c>
      <c r="I116" s="1">
        <v>69</v>
      </c>
    </row>
    <row r="117" spans="1:9" x14ac:dyDescent="0.35">
      <c r="A117" s="1">
        <v>116</v>
      </c>
      <c r="B117" s="1" t="s">
        <v>129</v>
      </c>
      <c r="C117" s="1" t="s">
        <v>13</v>
      </c>
      <c r="D117" s="1">
        <v>14</v>
      </c>
      <c r="E117" s="1" t="s">
        <v>18</v>
      </c>
      <c r="F117" s="1">
        <v>80</v>
      </c>
      <c r="G117" s="1">
        <v>92</v>
      </c>
      <c r="H117" s="1">
        <v>53</v>
      </c>
      <c r="I117" s="1">
        <v>30</v>
      </c>
    </row>
    <row r="118" spans="1:9" x14ac:dyDescent="0.35">
      <c r="A118" s="1">
        <v>117</v>
      </c>
      <c r="B118" s="1" t="s">
        <v>130</v>
      </c>
      <c r="C118" s="1" t="s">
        <v>13</v>
      </c>
      <c r="D118" s="1">
        <v>14</v>
      </c>
      <c r="E118" s="1" t="s">
        <v>18</v>
      </c>
      <c r="F118" s="1">
        <v>63</v>
      </c>
      <c r="G118" s="1">
        <v>74</v>
      </c>
      <c r="H118" s="1">
        <v>46</v>
      </c>
      <c r="I118" s="1">
        <v>76</v>
      </c>
    </row>
    <row r="119" spans="1:9" x14ac:dyDescent="0.35">
      <c r="A119" s="1">
        <v>118</v>
      </c>
      <c r="B119" s="1" t="s">
        <v>131</v>
      </c>
      <c r="C119" s="1" t="s">
        <v>10</v>
      </c>
      <c r="D119" s="1">
        <v>14</v>
      </c>
      <c r="E119" s="1" t="s">
        <v>14</v>
      </c>
      <c r="F119" s="1">
        <v>90</v>
      </c>
      <c r="G119" s="1">
        <v>22</v>
      </c>
      <c r="H119" s="1">
        <v>2</v>
      </c>
      <c r="I119" s="1">
        <v>12</v>
      </c>
    </row>
    <row r="120" spans="1:9" x14ac:dyDescent="0.35">
      <c r="A120" s="1">
        <v>119</v>
      </c>
      <c r="B120" s="1" t="s">
        <v>132</v>
      </c>
      <c r="C120" s="1" t="s">
        <v>10</v>
      </c>
      <c r="D120" s="1">
        <v>13</v>
      </c>
      <c r="E120" s="1" t="s">
        <v>11</v>
      </c>
      <c r="F120" s="1">
        <v>2</v>
      </c>
      <c r="G120" s="1">
        <v>60</v>
      </c>
      <c r="H120" s="1">
        <v>67</v>
      </c>
      <c r="I120" s="1">
        <v>29</v>
      </c>
    </row>
    <row r="121" spans="1:9" x14ac:dyDescent="0.35">
      <c r="A121" s="1">
        <v>120</v>
      </c>
      <c r="B121" s="1" t="s">
        <v>133</v>
      </c>
      <c r="C121" s="1" t="s">
        <v>13</v>
      </c>
      <c r="D121" s="1">
        <v>14</v>
      </c>
      <c r="E121" s="1" t="s">
        <v>18</v>
      </c>
      <c r="F121" s="1">
        <v>80</v>
      </c>
      <c r="G121" s="1">
        <v>34</v>
      </c>
      <c r="H121" s="1">
        <v>85</v>
      </c>
      <c r="I121" s="1">
        <v>71</v>
      </c>
    </row>
    <row r="122" spans="1:9" x14ac:dyDescent="0.35">
      <c r="A122" s="1">
        <v>121</v>
      </c>
      <c r="B122" s="1" t="s">
        <v>134</v>
      </c>
      <c r="C122" s="1" t="s">
        <v>13</v>
      </c>
      <c r="D122" s="1">
        <v>13</v>
      </c>
      <c r="E122" s="1" t="s">
        <v>18</v>
      </c>
      <c r="F122" s="1">
        <v>79</v>
      </c>
      <c r="G122" s="1">
        <v>88</v>
      </c>
      <c r="H122" s="1">
        <v>96</v>
      </c>
      <c r="I122" s="1">
        <v>93</v>
      </c>
    </row>
    <row r="123" spans="1:9" x14ac:dyDescent="0.35">
      <c r="A123" s="1">
        <v>122</v>
      </c>
      <c r="B123" s="1" t="s">
        <v>135</v>
      </c>
      <c r="C123" s="1" t="s">
        <v>13</v>
      </c>
      <c r="D123" s="1">
        <v>14</v>
      </c>
      <c r="E123" s="1" t="s">
        <v>11</v>
      </c>
      <c r="F123" s="1">
        <v>4</v>
      </c>
      <c r="G123" s="1">
        <v>37</v>
      </c>
      <c r="H123" s="1">
        <v>50</v>
      </c>
      <c r="I123" s="1">
        <v>47</v>
      </c>
    </row>
    <row r="124" spans="1:9" x14ac:dyDescent="0.35">
      <c r="A124" s="1">
        <v>123</v>
      </c>
      <c r="B124" s="1" t="s">
        <v>136</v>
      </c>
      <c r="C124" s="1" t="s">
        <v>13</v>
      </c>
      <c r="D124" s="1">
        <v>13</v>
      </c>
      <c r="E124" s="1" t="s">
        <v>18</v>
      </c>
      <c r="F124" s="1">
        <v>18</v>
      </c>
      <c r="G124" s="1">
        <v>100</v>
      </c>
      <c r="H124" s="1">
        <v>39</v>
      </c>
      <c r="I124" s="1">
        <v>8</v>
      </c>
    </row>
    <row r="125" spans="1:9" x14ac:dyDescent="0.35">
      <c r="A125" s="1">
        <v>124</v>
      </c>
      <c r="B125" s="1" t="s">
        <v>137</v>
      </c>
      <c r="C125" s="1" t="s">
        <v>10</v>
      </c>
      <c r="D125" s="1">
        <v>15</v>
      </c>
      <c r="E125" s="1" t="s">
        <v>14</v>
      </c>
      <c r="F125" s="1">
        <v>70</v>
      </c>
      <c r="G125" s="1">
        <v>75</v>
      </c>
      <c r="H125" s="1">
        <v>21</v>
      </c>
      <c r="I125" s="1">
        <v>99</v>
      </c>
    </row>
    <row r="126" spans="1:9" x14ac:dyDescent="0.35">
      <c r="A126" s="1">
        <v>125</v>
      </c>
      <c r="B126" s="1" t="s">
        <v>138</v>
      </c>
      <c r="C126" s="1" t="s">
        <v>13</v>
      </c>
      <c r="D126" s="1">
        <v>14</v>
      </c>
      <c r="E126" s="1" t="s">
        <v>14</v>
      </c>
      <c r="F126" s="1">
        <v>68</v>
      </c>
      <c r="G126" s="1">
        <v>20</v>
      </c>
      <c r="H126" s="1">
        <v>21</v>
      </c>
      <c r="I126" s="1">
        <v>81</v>
      </c>
    </row>
    <row r="127" spans="1:9" x14ac:dyDescent="0.35">
      <c r="A127" s="1">
        <v>126</v>
      </c>
      <c r="B127" s="1" t="s">
        <v>139</v>
      </c>
      <c r="C127" s="1" t="s">
        <v>13</v>
      </c>
      <c r="D127" s="1">
        <v>15</v>
      </c>
      <c r="E127" s="1" t="s">
        <v>18</v>
      </c>
      <c r="F127" s="1">
        <v>29</v>
      </c>
      <c r="G127" s="1">
        <v>6</v>
      </c>
      <c r="H127" s="1">
        <v>43</v>
      </c>
      <c r="I127" s="1">
        <v>85</v>
      </c>
    </row>
    <row r="128" spans="1:9" x14ac:dyDescent="0.35">
      <c r="A128" s="1">
        <v>127</v>
      </c>
      <c r="B128" s="1" t="s">
        <v>140</v>
      </c>
      <c r="C128" s="1" t="s">
        <v>13</v>
      </c>
      <c r="D128" s="1">
        <v>14</v>
      </c>
      <c r="E128" s="1" t="s">
        <v>14</v>
      </c>
      <c r="F128" s="1">
        <v>76</v>
      </c>
      <c r="G128" s="1">
        <v>36</v>
      </c>
      <c r="H128" s="1">
        <v>32</v>
      </c>
      <c r="I128" s="1">
        <v>47</v>
      </c>
    </row>
    <row r="129" spans="1:9" x14ac:dyDescent="0.35">
      <c r="A129" s="1">
        <v>128</v>
      </c>
      <c r="B129" s="1" t="s">
        <v>141</v>
      </c>
      <c r="C129" s="1" t="s">
        <v>10</v>
      </c>
      <c r="D129" s="1">
        <v>14</v>
      </c>
      <c r="E129" s="1" t="s">
        <v>11</v>
      </c>
      <c r="F129" s="1">
        <v>3</v>
      </c>
      <c r="G129" s="1">
        <v>31</v>
      </c>
      <c r="H129" s="1">
        <v>34</v>
      </c>
      <c r="I129" s="1">
        <v>45</v>
      </c>
    </row>
    <row r="130" spans="1:9" x14ac:dyDescent="0.35">
      <c r="A130" s="1">
        <v>129</v>
      </c>
      <c r="B130" s="1" t="s">
        <v>142</v>
      </c>
      <c r="C130" s="1" t="s">
        <v>10</v>
      </c>
      <c r="D130" s="1">
        <v>15</v>
      </c>
      <c r="E130" s="1" t="s">
        <v>14</v>
      </c>
      <c r="F130" s="1">
        <v>28</v>
      </c>
      <c r="G130" s="1">
        <v>94</v>
      </c>
      <c r="H130" s="1">
        <v>61</v>
      </c>
      <c r="I130" s="1">
        <v>72</v>
      </c>
    </row>
    <row r="131" spans="1:9" x14ac:dyDescent="0.35">
      <c r="A131" s="1">
        <v>130</v>
      </c>
      <c r="B131" s="1" t="s">
        <v>143</v>
      </c>
      <c r="C131" s="1" t="s">
        <v>10</v>
      </c>
      <c r="D131" s="1">
        <v>13</v>
      </c>
      <c r="E131" s="1" t="s">
        <v>18</v>
      </c>
      <c r="F131" s="1">
        <v>23</v>
      </c>
      <c r="G131" s="1">
        <v>88</v>
      </c>
      <c r="H131" s="1">
        <v>90</v>
      </c>
      <c r="I131" s="1">
        <v>68</v>
      </c>
    </row>
    <row r="132" spans="1:9" x14ac:dyDescent="0.35">
      <c r="A132" s="1">
        <v>131</v>
      </c>
      <c r="B132" s="1" t="s">
        <v>144</v>
      </c>
      <c r="C132" s="1" t="s">
        <v>10</v>
      </c>
      <c r="D132" s="1">
        <v>15</v>
      </c>
      <c r="E132" s="1" t="s">
        <v>14</v>
      </c>
      <c r="F132" s="1">
        <v>85</v>
      </c>
      <c r="G132" s="1">
        <v>30</v>
      </c>
      <c r="H132" s="1">
        <v>50</v>
      </c>
      <c r="I132" s="1">
        <v>2</v>
      </c>
    </row>
    <row r="133" spans="1:9" x14ac:dyDescent="0.35">
      <c r="A133" s="1">
        <v>132</v>
      </c>
      <c r="B133" s="1" t="s">
        <v>145</v>
      </c>
      <c r="C133" s="1" t="s">
        <v>13</v>
      </c>
      <c r="D133" s="1">
        <v>13</v>
      </c>
      <c r="E133" s="1" t="s">
        <v>11</v>
      </c>
      <c r="F133" s="1">
        <v>13</v>
      </c>
      <c r="G133" s="1">
        <v>73</v>
      </c>
      <c r="H133" s="1">
        <v>76</v>
      </c>
      <c r="I133" s="1">
        <v>95</v>
      </c>
    </row>
    <row r="134" spans="1:9" x14ac:dyDescent="0.35">
      <c r="A134" s="1">
        <v>133</v>
      </c>
      <c r="B134" s="1" t="s">
        <v>146</v>
      </c>
      <c r="C134" s="1" t="s">
        <v>13</v>
      </c>
      <c r="D134" s="1">
        <v>15</v>
      </c>
      <c r="E134" s="1" t="s">
        <v>18</v>
      </c>
      <c r="F134" s="1">
        <v>19</v>
      </c>
      <c r="G134" s="1">
        <v>14</v>
      </c>
      <c r="H134" s="1">
        <v>43</v>
      </c>
      <c r="I134" s="1">
        <v>68</v>
      </c>
    </row>
    <row r="135" spans="1:9" x14ac:dyDescent="0.35">
      <c r="A135" s="1">
        <v>134</v>
      </c>
      <c r="B135" s="1" t="s">
        <v>147</v>
      </c>
      <c r="C135" s="1" t="s">
        <v>10</v>
      </c>
      <c r="D135" s="1">
        <v>15</v>
      </c>
      <c r="E135" s="1" t="s">
        <v>11</v>
      </c>
      <c r="F135" s="1">
        <v>77</v>
      </c>
      <c r="G135" s="1">
        <v>25</v>
      </c>
      <c r="H135" s="1">
        <v>85</v>
      </c>
      <c r="I135" s="1">
        <v>26</v>
      </c>
    </row>
    <row r="136" spans="1:9" x14ac:dyDescent="0.35">
      <c r="A136" s="1">
        <v>135</v>
      </c>
      <c r="B136" s="1" t="s">
        <v>148</v>
      </c>
      <c r="C136" s="1" t="s">
        <v>10</v>
      </c>
      <c r="D136" s="1">
        <v>13</v>
      </c>
      <c r="E136" s="1" t="s">
        <v>14</v>
      </c>
      <c r="F136" s="1">
        <v>96</v>
      </c>
      <c r="G136" s="1">
        <v>100</v>
      </c>
      <c r="H136" s="1">
        <v>42</v>
      </c>
      <c r="I136" s="1">
        <v>62</v>
      </c>
    </row>
    <row r="137" spans="1:9" x14ac:dyDescent="0.35">
      <c r="A137" s="1">
        <v>136</v>
      </c>
      <c r="B137" s="1" t="s">
        <v>149</v>
      </c>
      <c r="C137" s="1" t="s">
        <v>10</v>
      </c>
      <c r="D137" s="1">
        <v>13</v>
      </c>
      <c r="E137" s="1" t="s">
        <v>11</v>
      </c>
      <c r="F137" s="1">
        <v>5</v>
      </c>
      <c r="G137" s="1">
        <v>10</v>
      </c>
      <c r="H137" s="1">
        <v>75</v>
      </c>
      <c r="I137" s="1">
        <v>38</v>
      </c>
    </row>
    <row r="138" spans="1:9" x14ac:dyDescent="0.35">
      <c r="A138" s="1">
        <v>137</v>
      </c>
      <c r="B138" s="1" t="s">
        <v>150</v>
      </c>
      <c r="C138" s="1" t="s">
        <v>10</v>
      </c>
      <c r="D138" s="1">
        <v>15</v>
      </c>
      <c r="E138" s="1" t="s">
        <v>11</v>
      </c>
      <c r="F138" s="1">
        <v>52</v>
      </c>
      <c r="G138" s="1">
        <v>39</v>
      </c>
      <c r="H138" s="1">
        <v>37</v>
      </c>
      <c r="I138" s="1">
        <v>3</v>
      </c>
    </row>
    <row r="139" spans="1:9" x14ac:dyDescent="0.35">
      <c r="A139" s="1">
        <v>138</v>
      </c>
      <c r="B139" s="1" t="s">
        <v>151</v>
      </c>
      <c r="C139" s="1" t="s">
        <v>13</v>
      </c>
      <c r="D139" s="1">
        <v>13</v>
      </c>
      <c r="E139" s="1" t="s">
        <v>11</v>
      </c>
      <c r="F139" s="1">
        <v>10</v>
      </c>
      <c r="G139" s="1">
        <v>29</v>
      </c>
      <c r="H139" s="1">
        <v>21</v>
      </c>
      <c r="I139" s="1">
        <v>13</v>
      </c>
    </row>
    <row r="140" spans="1:9" x14ac:dyDescent="0.35">
      <c r="A140" s="1">
        <v>139</v>
      </c>
      <c r="B140" s="1" t="s">
        <v>152</v>
      </c>
      <c r="C140" s="1" t="s">
        <v>13</v>
      </c>
      <c r="D140" s="1">
        <v>13</v>
      </c>
      <c r="E140" s="1" t="s">
        <v>14</v>
      </c>
      <c r="F140" s="1">
        <v>52</v>
      </c>
      <c r="G140" s="1">
        <v>62</v>
      </c>
      <c r="H140" s="1">
        <v>44</v>
      </c>
      <c r="I140" s="1">
        <v>10</v>
      </c>
    </row>
    <row r="141" spans="1:9" x14ac:dyDescent="0.35">
      <c r="A141" s="1">
        <v>140</v>
      </c>
      <c r="B141" s="1" t="s">
        <v>153</v>
      </c>
      <c r="C141" s="1" t="s">
        <v>10</v>
      </c>
      <c r="D141" s="1">
        <v>13</v>
      </c>
      <c r="E141" s="1" t="s">
        <v>14</v>
      </c>
      <c r="F141" s="1">
        <v>21</v>
      </c>
      <c r="G141" s="1">
        <v>65</v>
      </c>
      <c r="H141" s="1">
        <v>90</v>
      </c>
      <c r="I141" s="1">
        <v>4</v>
      </c>
    </row>
    <row r="142" spans="1:9" x14ac:dyDescent="0.35">
      <c r="A142" s="1">
        <v>141</v>
      </c>
      <c r="B142" s="1" t="s">
        <v>154</v>
      </c>
      <c r="C142" s="1" t="s">
        <v>13</v>
      </c>
      <c r="D142" s="1">
        <v>15</v>
      </c>
      <c r="E142" s="1" t="s">
        <v>11</v>
      </c>
      <c r="F142" s="1">
        <v>52</v>
      </c>
      <c r="G142" s="1">
        <v>30</v>
      </c>
      <c r="H142" s="1">
        <v>14</v>
      </c>
      <c r="I142" s="1">
        <v>24</v>
      </c>
    </row>
    <row r="143" spans="1:9" x14ac:dyDescent="0.35">
      <c r="A143" s="1">
        <v>142</v>
      </c>
      <c r="B143" s="1" t="s">
        <v>155</v>
      </c>
      <c r="C143" s="1" t="s">
        <v>10</v>
      </c>
      <c r="D143" s="1">
        <v>14</v>
      </c>
      <c r="E143" s="1" t="s">
        <v>14</v>
      </c>
      <c r="F143" s="1">
        <v>77</v>
      </c>
      <c r="G143" s="1">
        <v>79</v>
      </c>
      <c r="H143" s="1">
        <v>92</v>
      </c>
      <c r="I143" s="1">
        <v>36</v>
      </c>
    </row>
    <row r="144" spans="1:9" x14ac:dyDescent="0.35">
      <c r="A144" s="1">
        <v>143</v>
      </c>
      <c r="B144" s="1" t="s">
        <v>156</v>
      </c>
      <c r="C144" s="1" t="s">
        <v>13</v>
      </c>
      <c r="D144" s="1">
        <v>13</v>
      </c>
      <c r="E144" s="1" t="s">
        <v>14</v>
      </c>
      <c r="F144" s="1">
        <v>5</v>
      </c>
      <c r="G144" s="1">
        <v>3</v>
      </c>
      <c r="H144" s="1">
        <v>97</v>
      </c>
      <c r="I144" s="1">
        <v>84</v>
      </c>
    </row>
    <row r="145" spans="1:9" x14ac:dyDescent="0.35">
      <c r="A145" s="1">
        <v>144</v>
      </c>
      <c r="B145" s="1" t="s">
        <v>157</v>
      </c>
      <c r="C145" s="1" t="s">
        <v>10</v>
      </c>
      <c r="D145" s="1">
        <v>13</v>
      </c>
      <c r="E145" s="1" t="s">
        <v>11</v>
      </c>
      <c r="F145" s="1">
        <v>63</v>
      </c>
      <c r="G145" s="1">
        <v>12</v>
      </c>
      <c r="H145" s="1">
        <v>69</v>
      </c>
      <c r="I145" s="1">
        <v>41</v>
      </c>
    </row>
    <row r="146" spans="1:9" x14ac:dyDescent="0.35">
      <c r="A146" s="1">
        <v>145</v>
      </c>
      <c r="B146" s="1" t="s">
        <v>158</v>
      </c>
      <c r="C146" s="1" t="s">
        <v>13</v>
      </c>
      <c r="D146" s="1">
        <v>15</v>
      </c>
      <c r="E146" s="1" t="s">
        <v>18</v>
      </c>
      <c r="F146" s="1">
        <v>76</v>
      </c>
      <c r="G146" s="1">
        <v>53</v>
      </c>
      <c r="H146" s="1">
        <v>32</v>
      </c>
      <c r="I146" s="1">
        <v>69</v>
      </c>
    </row>
    <row r="147" spans="1:9" x14ac:dyDescent="0.35">
      <c r="A147" s="1">
        <v>146</v>
      </c>
      <c r="B147" s="1" t="s">
        <v>98</v>
      </c>
      <c r="C147" s="1" t="s">
        <v>10</v>
      </c>
      <c r="D147" s="1">
        <v>15</v>
      </c>
      <c r="E147" s="1" t="s">
        <v>14</v>
      </c>
      <c r="F147" s="1">
        <v>43</v>
      </c>
      <c r="G147" s="1">
        <v>4</v>
      </c>
      <c r="H147" s="1">
        <v>40</v>
      </c>
      <c r="I147" s="1">
        <v>93</v>
      </c>
    </row>
    <row r="148" spans="1:9" x14ac:dyDescent="0.35">
      <c r="A148" s="1">
        <v>147</v>
      </c>
      <c r="B148" s="1" t="s">
        <v>159</v>
      </c>
      <c r="C148" s="1" t="s">
        <v>13</v>
      </c>
      <c r="D148" s="1">
        <v>15</v>
      </c>
      <c r="E148" s="1" t="s">
        <v>11</v>
      </c>
      <c r="F148" s="1">
        <v>33</v>
      </c>
      <c r="G148" s="1">
        <v>75</v>
      </c>
      <c r="H148" s="1">
        <v>98</v>
      </c>
      <c r="I148" s="1">
        <v>84</v>
      </c>
    </row>
    <row r="149" spans="1:9" x14ac:dyDescent="0.35">
      <c r="A149" s="1">
        <v>148</v>
      </c>
      <c r="B149" s="1" t="s">
        <v>160</v>
      </c>
      <c r="C149" s="1" t="s">
        <v>10</v>
      </c>
      <c r="D149" s="1">
        <v>13</v>
      </c>
      <c r="E149" s="1" t="s">
        <v>14</v>
      </c>
      <c r="F149" s="1">
        <v>92</v>
      </c>
      <c r="G149" s="1">
        <v>67</v>
      </c>
      <c r="H149" s="1">
        <v>13</v>
      </c>
      <c r="I149" s="1">
        <v>25</v>
      </c>
    </row>
    <row r="150" spans="1:9" x14ac:dyDescent="0.35">
      <c r="A150" s="1">
        <v>149</v>
      </c>
      <c r="B150" s="1" t="s">
        <v>161</v>
      </c>
      <c r="C150" s="1" t="s">
        <v>10</v>
      </c>
      <c r="D150" s="1">
        <v>15</v>
      </c>
      <c r="E150" s="1" t="s">
        <v>11</v>
      </c>
      <c r="F150" s="1">
        <v>51</v>
      </c>
      <c r="G150" s="1">
        <v>67</v>
      </c>
      <c r="H150" s="1">
        <v>67</v>
      </c>
      <c r="I150" s="1">
        <v>91</v>
      </c>
    </row>
    <row r="151" spans="1:9" x14ac:dyDescent="0.35">
      <c r="A151" s="1">
        <v>150</v>
      </c>
      <c r="B151" s="1" t="s">
        <v>162</v>
      </c>
      <c r="C151" s="1" t="s">
        <v>10</v>
      </c>
      <c r="D151" s="1">
        <v>13</v>
      </c>
      <c r="E151" s="1" t="s">
        <v>14</v>
      </c>
      <c r="F151" s="1">
        <v>53</v>
      </c>
      <c r="G151" s="1">
        <v>95</v>
      </c>
      <c r="H151" s="1">
        <v>75</v>
      </c>
      <c r="I151" s="1">
        <v>81</v>
      </c>
    </row>
    <row r="152" spans="1:9" x14ac:dyDescent="0.35">
      <c r="A152" s="1">
        <v>151</v>
      </c>
      <c r="B152" s="1" t="s">
        <v>163</v>
      </c>
      <c r="C152" s="1" t="s">
        <v>13</v>
      </c>
      <c r="D152" s="1">
        <v>13</v>
      </c>
      <c r="E152" s="1" t="s">
        <v>18</v>
      </c>
      <c r="F152" s="1">
        <v>92</v>
      </c>
      <c r="G152" s="1">
        <v>97</v>
      </c>
      <c r="H152" s="1">
        <v>62</v>
      </c>
      <c r="I152" s="1">
        <v>69</v>
      </c>
    </row>
    <row r="153" spans="1:9" x14ac:dyDescent="0.35">
      <c r="A153" s="1">
        <v>152</v>
      </c>
      <c r="B153" s="1" t="s">
        <v>164</v>
      </c>
      <c r="C153" s="1" t="s">
        <v>10</v>
      </c>
      <c r="D153" s="1">
        <v>15</v>
      </c>
      <c r="E153" s="1" t="s">
        <v>18</v>
      </c>
      <c r="F153" s="1">
        <v>26</v>
      </c>
      <c r="G153" s="1">
        <v>76</v>
      </c>
      <c r="H153" s="1">
        <v>56</v>
      </c>
      <c r="I153" s="1">
        <v>75</v>
      </c>
    </row>
    <row r="154" spans="1:9" x14ac:dyDescent="0.35">
      <c r="A154" s="1">
        <v>153</v>
      </c>
      <c r="B154" s="1" t="s">
        <v>165</v>
      </c>
      <c r="C154" s="1" t="s">
        <v>13</v>
      </c>
      <c r="D154" s="1">
        <v>13</v>
      </c>
      <c r="E154" s="1" t="s">
        <v>18</v>
      </c>
      <c r="F154" s="1">
        <v>23</v>
      </c>
      <c r="G154" s="1">
        <v>41</v>
      </c>
      <c r="H154" s="1">
        <v>49</v>
      </c>
      <c r="I154" s="1">
        <v>79</v>
      </c>
    </row>
    <row r="155" spans="1:9" x14ac:dyDescent="0.35">
      <c r="A155" s="1">
        <v>154</v>
      </c>
      <c r="B155" s="1" t="s">
        <v>166</v>
      </c>
      <c r="C155" s="1" t="s">
        <v>10</v>
      </c>
      <c r="D155" s="1">
        <v>14</v>
      </c>
      <c r="E155" s="1" t="s">
        <v>18</v>
      </c>
      <c r="F155" s="1">
        <v>47</v>
      </c>
      <c r="G155" s="1">
        <v>16</v>
      </c>
      <c r="H155" s="1">
        <v>55</v>
      </c>
      <c r="I155" s="1">
        <v>21</v>
      </c>
    </row>
    <row r="156" spans="1:9" x14ac:dyDescent="0.35">
      <c r="A156" s="1">
        <v>155</v>
      </c>
      <c r="B156" s="1" t="s">
        <v>167</v>
      </c>
      <c r="C156" s="1" t="s">
        <v>13</v>
      </c>
      <c r="D156" s="1">
        <v>14</v>
      </c>
      <c r="E156" s="1" t="s">
        <v>11</v>
      </c>
      <c r="F156" s="1">
        <v>32</v>
      </c>
      <c r="G156" s="1">
        <v>3</v>
      </c>
      <c r="H156" s="1">
        <v>69</v>
      </c>
      <c r="I156" s="1">
        <v>96</v>
      </c>
    </row>
    <row r="157" spans="1:9" x14ac:dyDescent="0.35">
      <c r="A157" s="1">
        <v>156</v>
      </c>
      <c r="B157" s="1" t="s">
        <v>168</v>
      </c>
      <c r="C157" s="1" t="s">
        <v>10</v>
      </c>
      <c r="D157" s="1">
        <v>13</v>
      </c>
      <c r="E157" s="1" t="s">
        <v>14</v>
      </c>
      <c r="F157" s="1">
        <v>55</v>
      </c>
      <c r="G157" s="1">
        <v>99</v>
      </c>
      <c r="H157" s="1">
        <v>8</v>
      </c>
      <c r="I157" s="1">
        <v>72</v>
      </c>
    </row>
    <row r="158" spans="1:9" x14ac:dyDescent="0.35">
      <c r="A158" s="1">
        <v>157</v>
      </c>
      <c r="B158" s="1" t="s">
        <v>169</v>
      </c>
      <c r="C158" s="1" t="s">
        <v>13</v>
      </c>
      <c r="D158" s="1">
        <v>15</v>
      </c>
      <c r="E158" s="1" t="s">
        <v>11</v>
      </c>
      <c r="F158" s="1">
        <v>67</v>
      </c>
      <c r="G158" s="1">
        <v>88</v>
      </c>
      <c r="H158" s="1">
        <v>41</v>
      </c>
      <c r="I158" s="1">
        <v>8</v>
      </c>
    </row>
    <row r="159" spans="1:9" x14ac:dyDescent="0.35">
      <c r="A159" s="1">
        <v>158</v>
      </c>
      <c r="B159" s="1" t="s">
        <v>170</v>
      </c>
      <c r="C159" s="1" t="s">
        <v>10</v>
      </c>
      <c r="D159" s="1">
        <v>13</v>
      </c>
      <c r="E159" s="1" t="s">
        <v>11</v>
      </c>
      <c r="F159" s="1">
        <v>72</v>
      </c>
      <c r="G159" s="1">
        <v>24</v>
      </c>
      <c r="H159" s="1">
        <v>83</v>
      </c>
      <c r="I159" s="1">
        <v>62</v>
      </c>
    </row>
    <row r="160" spans="1:9" x14ac:dyDescent="0.35">
      <c r="A160" s="1">
        <v>159</v>
      </c>
      <c r="B160" s="1" t="s">
        <v>171</v>
      </c>
      <c r="C160" s="1" t="s">
        <v>13</v>
      </c>
      <c r="D160" s="1">
        <v>14</v>
      </c>
      <c r="E160" s="1" t="s">
        <v>18</v>
      </c>
      <c r="F160" s="1">
        <v>73</v>
      </c>
      <c r="G160" s="1">
        <v>71</v>
      </c>
      <c r="H160" s="1">
        <v>87</v>
      </c>
      <c r="I160" s="1">
        <v>30</v>
      </c>
    </row>
    <row r="161" spans="1:9" x14ac:dyDescent="0.35">
      <c r="A161" s="1">
        <v>160</v>
      </c>
      <c r="B161" s="1" t="s">
        <v>172</v>
      </c>
      <c r="C161" s="1" t="s">
        <v>13</v>
      </c>
      <c r="D161" s="1">
        <v>14</v>
      </c>
      <c r="E161" s="1" t="s">
        <v>14</v>
      </c>
      <c r="F161" s="1">
        <v>61</v>
      </c>
      <c r="G161" s="1">
        <v>89</v>
      </c>
      <c r="H161" s="1">
        <v>70</v>
      </c>
      <c r="I161" s="1">
        <v>68</v>
      </c>
    </row>
    <row r="162" spans="1:9" x14ac:dyDescent="0.35">
      <c r="A162" s="1">
        <v>161</v>
      </c>
      <c r="B162" s="1" t="s">
        <v>173</v>
      </c>
      <c r="C162" s="1" t="s">
        <v>10</v>
      </c>
      <c r="D162" s="1">
        <v>15</v>
      </c>
      <c r="E162" s="1" t="s">
        <v>11</v>
      </c>
      <c r="F162" s="1">
        <v>58</v>
      </c>
      <c r="G162" s="1">
        <v>25</v>
      </c>
      <c r="H162" s="1">
        <v>23</v>
      </c>
      <c r="I162" s="1">
        <v>39</v>
      </c>
    </row>
    <row r="163" spans="1:9" x14ac:dyDescent="0.35">
      <c r="A163" s="1">
        <v>162</v>
      </c>
      <c r="B163" s="1" t="s">
        <v>174</v>
      </c>
      <c r="C163" s="1" t="s">
        <v>10</v>
      </c>
      <c r="D163" s="1">
        <v>13</v>
      </c>
      <c r="E163" s="1" t="s">
        <v>18</v>
      </c>
      <c r="F163" s="1">
        <v>100</v>
      </c>
      <c r="G163" s="1">
        <v>64</v>
      </c>
      <c r="H163" s="1">
        <v>16</v>
      </c>
      <c r="I163" s="1">
        <v>20</v>
      </c>
    </row>
    <row r="164" spans="1:9" x14ac:dyDescent="0.35">
      <c r="A164" s="1">
        <v>163</v>
      </c>
      <c r="B164" s="1" t="s">
        <v>175</v>
      </c>
      <c r="C164" s="1" t="s">
        <v>13</v>
      </c>
      <c r="D164" s="1">
        <v>15</v>
      </c>
      <c r="E164" s="1" t="s">
        <v>14</v>
      </c>
      <c r="F164" s="1">
        <v>44</v>
      </c>
      <c r="G164" s="1">
        <v>47</v>
      </c>
      <c r="H164" s="1">
        <v>43</v>
      </c>
      <c r="I164" s="1">
        <v>55</v>
      </c>
    </row>
    <row r="165" spans="1:9" x14ac:dyDescent="0.35">
      <c r="A165" s="1">
        <v>164</v>
      </c>
      <c r="B165" s="1" t="s">
        <v>176</v>
      </c>
      <c r="C165" s="1" t="s">
        <v>10</v>
      </c>
      <c r="D165" s="1">
        <v>13</v>
      </c>
      <c r="E165" s="1" t="s">
        <v>18</v>
      </c>
      <c r="F165" s="1">
        <v>91</v>
      </c>
      <c r="G165" s="1">
        <v>12</v>
      </c>
      <c r="H165" s="1">
        <v>15</v>
      </c>
      <c r="I165" s="1">
        <v>70</v>
      </c>
    </row>
    <row r="166" spans="1:9" x14ac:dyDescent="0.35">
      <c r="A166" s="1">
        <v>165</v>
      </c>
      <c r="B166" s="1" t="s">
        <v>177</v>
      </c>
      <c r="C166" s="1" t="s">
        <v>10</v>
      </c>
      <c r="D166" s="1">
        <v>15</v>
      </c>
      <c r="E166" s="1" t="s">
        <v>11</v>
      </c>
      <c r="F166" s="1">
        <v>35</v>
      </c>
      <c r="G166" s="1">
        <v>39</v>
      </c>
      <c r="H166" s="1">
        <v>61</v>
      </c>
      <c r="I166" s="1">
        <v>9</v>
      </c>
    </row>
    <row r="167" spans="1:9" x14ac:dyDescent="0.35">
      <c r="A167" s="1">
        <v>166</v>
      </c>
      <c r="B167" s="1" t="s">
        <v>178</v>
      </c>
      <c r="C167" s="1" t="s">
        <v>13</v>
      </c>
      <c r="D167" s="1">
        <v>13</v>
      </c>
      <c r="E167" s="1" t="s">
        <v>11</v>
      </c>
      <c r="F167" s="1">
        <v>67</v>
      </c>
      <c r="G167" s="1">
        <v>21</v>
      </c>
      <c r="H167" s="1">
        <v>60</v>
      </c>
      <c r="I167" s="1">
        <v>40</v>
      </c>
    </row>
    <row r="168" spans="1:9" x14ac:dyDescent="0.35">
      <c r="A168" s="1">
        <v>167</v>
      </c>
      <c r="B168" s="1" t="s">
        <v>179</v>
      </c>
      <c r="C168" s="1" t="s">
        <v>13</v>
      </c>
      <c r="D168" s="1">
        <v>15</v>
      </c>
      <c r="E168" s="1" t="s">
        <v>11</v>
      </c>
      <c r="F168" s="1">
        <v>84</v>
      </c>
      <c r="G168" s="1">
        <v>8</v>
      </c>
      <c r="H168" s="1">
        <v>71</v>
      </c>
      <c r="I168" s="1">
        <v>48</v>
      </c>
    </row>
    <row r="169" spans="1:9" x14ac:dyDescent="0.35">
      <c r="A169" s="1">
        <v>168</v>
      </c>
      <c r="B169" s="1" t="s">
        <v>31</v>
      </c>
      <c r="C169" s="1" t="s">
        <v>10</v>
      </c>
      <c r="D169" s="1">
        <v>13</v>
      </c>
      <c r="E169" s="1" t="s">
        <v>14</v>
      </c>
      <c r="F169" s="1">
        <v>23</v>
      </c>
      <c r="G169" s="1">
        <v>5</v>
      </c>
      <c r="H169" s="1">
        <v>39</v>
      </c>
      <c r="I169" s="1">
        <v>42</v>
      </c>
    </row>
    <row r="170" spans="1:9" x14ac:dyDescent="0.35">
      <c r="A170" s="1">
        <v>169</v>
      </c>
      <c r="B170" s="1" t="s">
        <v>180</v>
      </c>
      <c r="C170" s="1" t="s">
        <v>13</v>
      </c>
      <c r="D170" s="1">
        <v>14</v>
      </c>
      <c r="E170" s="1" t="s">
        <v>11</v>
      </c>
      <c r="F170" s="1">
        <v>95</v>
      </c>
      <c r="G170" s="1">
        <v>56</v>
      </c>
      <c r="H170" s="1">
        <v>4</v>
      </c>
      <c r="I170" s="1">
        <v>100</v>
      </c>
    </row>
    <row r="171" spans="1:9" x14ac:dyDescent="0.35">
      <c r="A171" s="1">
        <v>170</v>
      </c>
      <c r="B171" s="1" t="s">
        <v>181</v>
      </c>
      <c r="C171" s="1" t="s">
        <v>10</v>
      </c>
      <c r="D171" s="1">
        <v>15</v>
      </c>
      <c r="E171" s="1" t="s">
        <v>14</v>
      </c>
      <c r="F171" s="1">
        <v>38</v>
      </c>
      <c r="G171" s="1">
        <v>17</v>
      </c>
      <c r="H171" s="1">
        <v>76</v>
      </c>
      <c r="I171" s="1">
        <v>26</v>
      </c>
    </row>
    <row r="172" spans="1:9" x14ac:dyDescent="0.35">
      <c r="A172" s="1">
        <v>171</v>
      </c>
      <c r="B172" s="1" t="s">
        <v>182</v>
      </c>
      <c r="C172" s="1" t="s">
        <v>10</v>
      </c>
      <c r="D172" s="1">
        <v>15</v>
      </c>
      <c r="E172" s="1" t="s">
        <v>14</v>
      </c>
      <c r="F172" s="1">
        <v>34</v>
      </c>
      <c r="G172" s="1">
        <v>74</v>
      </c>
      <c r="H172" s="1">
        <v>83</v>
      </c>
      <c r="I172" s="1">
        <v>81</v>
      </c>
    </row>
    <row r="173" spans="1:9" x14ac:dyDescent="0.35">
      <c r="A173" s="1">
        <v>172</v>
      </c>
      <c r="B173" s="1" t="s">
        <v>183</v>
      </c>
      <c r="C173" s="1" t="s">
        <v>13</v>
      </c>
      <c r="D173" s="1">
        <v>14</v>
      </c>
      <c r="E173" s="1" t="s">
        <v>18</v>
      </c>
      <c r="F173" s="1">
        <v>86</v>
      </c>
      <c r="G173" s="1">
        <v>92</v>
      </c>
      <c r="H173" s="1">
        <v>8</v>
      </c>
      <c r="I173" s="1">
        <v>62</v>
      </c>
    </row>
    <row r="174" spans="1:9" x14ac:dyDescent="0.35">
      <c r="A174" s="1">
        <v>173</v>
      </c>
      <c r="B174" s="1" t="s">
        <v>184</v>
      </c>
      <c r="C174" s="1" t="s">
        <v>13</v>
      </c>
      <c r="D174" s="1">
        <v>15</v>
      </c>
      <c r="E174" s="1" t="s">
        <v>11</v>
      </c>
      <c r="F174" s="1">
        <v>55</v>
      </c>
      <c r="G174" s="1">
        <v>62</v>
      </c>
      <c r="H174" s="1">
        <v>57</v>
      </c>
      <c r="I174" s="1">
        <v>56</v>
      </c>
    </row>
    <row r="175" spans="1:9" x14ac:dyDescent="0.35">
      <c r="A175" s="1">
        <v>174</v>
      </c>
      <c r="B175" s="1" t="s">
        <v>185</v>
      </c>
      <c r="C175" s="1" t="s">
        <v>13</v>
      </c>
      <c r="D175" s="1">
        <v>14</v>
      </c>
      <c r="E175" s="1" t="s">
        <v>18</v>
      </c>
      <c r="F175" s="1">
        <v>94</v>
      </c>
      <c r="G175" s="1">
        <v>28</v>
      </c>
      <c r="H175" s="1">
        <v>6</v>
      </c>
      <c r="I175" s="1">
        <v>9</v>
      </c>
    </row>
    <row r="176" spans="1:9" x14ac:dyDescent="0.35">
      <c r="A176" s="1">
        <v>175</v>
      </c>
      <c r="B176" s="1" t="s">
        <v>186</v>
      </c>
      <c r="C176" s="1" t="s">
        <v>10</v>
      </c>
      <c r="D176" s="1">
        <v>14</v>
      </c>
      <c r="E176" s="1" t="s">
        <v>14</v>
      </c>
      <c r="F176" s="1">
        <v>63</v>
      </c>
      <c r="G176" s="1">
        <v>9</v>
      </c>
      <c r="H176" s="1">
        <v>91</v>
      </c>
      <c r="I176" s="1">
        <v>88</v>
      </c>
    </row>
    <row r="177" spans="1:9" x14ac:dyDescent="0.35">
      <c r="A177" s="1">
        <v>176</v>
      </c>
      <c r="B177" s="1" t="s">
        <v>187</v>
      </c>
      <c r="C177" s="1" t="s">
        <v>13</v>
      </c>
      <c r="D177" s="1">
        <v>14</v>
      </c>
      <c r="E177" s="1" t="s">
        <v>11</v>
      </c>
      <c r="F177" s="1">
        <v>95</v>
      </c>
      <c r="G177" s="1">
        <v>21</v>
      </c>
      <c r="H177" s="1">
        <v>51</v>
      </c>
      <c r="I177" s="1">
        <v>33</v>
      </c>
    </row>
    <row r="178" spans="1:9" x14ac:dyDescent="0.35">
      <c r="A178" s="1">
        <v>177</v>
      </c>
      <c r="B178" s="1" t="s">
        <v>188</v>
      </c>
      <c r="C178" s="1" t="s">
        <v>13</v>
      </c>
      <c r="D178" s="1">
        <v>13</v>
      </c>
      <c r="E178" s="1" t="s">
        <v>14</v>
      </c>
      <c r="F178" s="1">
        <v>92</v>
      </c>
      <c r="G178" s="1">
        <v>36</v>
      </c>
      <c r="H178" s="1">
        <v>59</v>
      </c>
      <c r="I178" s="1">
        <v>48</v>
      </c>
    </row>
    <row r="179" spans="1:9" x14ac:dyDescent="0.35">
      <c r="A179" s="1">
        <v>178</v>
      </c>
      <c r="B179" s="1" t="s">
        <v>189</v>
      </c>
      <c r="C179" s="1" t="s">
        <v>10</v>
      </c>
      <c r="D179" s="1">
        <v>15</v>
      </c>
      <c r="E179" s="1" t="s">
        <v>18</v>
      </c>
      <c r="F179" s="1">
        <v>87</v>
      </c>
      <c r="G179" s="1">
        <v>39</v>
      </c>
      <c r="H179" s="1">
        <v>48</v>
      </c>
      <c r="I179" s="1">
        <v>53</v>
      </c>
    </row>
    <row r="180" spans="1:9" x14ac:dyDescent="0.35">
      <c r="A180" s="1">
        <v>179</v>
      </c>
      <c r="B180" s="1" t="s">
        <v>190</v>
      </c>
      <c r="C180" s="1" t="s">
        <v>13</v>
      </c>
      <c r="D180" s="1">
        <v>13</v>
      </c>
      <c r="E180" s="1" t="s">
        <v>14</v>
      </c>
      <c r="F180" s="1">
        <v>95</v>
      </c>
      <c r="G180" s="1">
        <v>73</v>
      </c>
      <c r="H180" s="1">
        <v>91</v>
      </c>
      <c r="I180" s="1">
        <v>61</v>
      </c>
    </row>
    <row r="181" spans="1:9" x14ac:dyDescent="0.35">
      <c r="A181" s="1">
        <v>180</v>
      </c>
      <c r="B181" s="1" t="s">
        <v>191</v>
      </c>
      <c r="C181" s="1" t="s">
        <v>10</v>
      </c>
      <c r="D181" s="1">
        <v>15</v>
      </c>
      <c r="E181" s="1" t="s">
        <v>11</v>
      </c>
      <c r="F181" s="1">
        <v>32</v>
      </c>
      <c r="G181" s="1">
        <v>5</v>
      </c>
      <c r="H181" s="1">
        <v>53</v>
      </c>
      <c r="I181" s="1">
        <v>49</v>
      </c>
    </row>
    <row r="182" spans="1:9" x14ac:dyDescent="0.35">
      <c r="A182" s="1">
        <v>181</v>
      </c>
      <c r="B182" s="1" t="s">
        <v>192</v>
      </c>
      <c r="C182" s="1" t="s">
        <v>13</v>
      </c>
      <c r="D182" s="1">
        <v>13</v>
      </c>
      <c r="E182" s="1" t="s">
        <v>11</v>
      </c>
      <c r="F182" s="1">
        <v>98</v>
      </c>
      <c r="G182" s="1">
        <v>100</v>
      </c>
      <c r="H182" s="1">
        <v>23</v>
      </c>
      <c r="I182" s="1">
        <v>84</v>
      </c>
    </row>
    <row r="183" spans="1:9" x14ac:dyDescent="0.35">
      <c r="A183" s="1">
        <v>182</v>
      </c>
      <c r="B183" s="1" t="s">
        <v>193</v>
      </c>
      <c r="C183" s="1" t="s">
        <v>13</v>
      </c>
      <c r="D183" s="1">
        <v>13</v>
      </c>
      <c r="E183" s="1" t="s">
        <v>18</v>
      </c>
      <c r="F183" s="1">
        <v>62</v>
      </c>
      <c r="G183" s="1">
        <v>42</v>
      </c>
      <c r="H183" s="1">
        <v>87</v>
      </c>
      <c r="I183" s="1">
        <v>51</v>
      </c>
    </row>
    <row r="184" spans="1:9" x14ac:dyDescent="0.35">
      <c r="A184" s="1">
        <v>183</v>
      </c>
      <c r="B184" s="1" t="s">
        <v>194</v>
      </c>
      <c r="C184" s="1" t="s">
        <v>10</v>
      </c>
      <c r="D184" s="1">
        <v>15</v>
      </c>
      <c r="E184" s="1" t="s">
        <v>18</v>
      </c>
      <c r="F184" s="1">
        <v>60</v>
      </c>
      <c r="G184" s="1">
        <v>42</v>
      </c>
      <c r="H184" s="1">
        <v>49</v>
      </c>
      <c r="I184" s="1">
        <v>25</v>
      </c>
    </row>
    <row r="185" spans="1:9" x14ac:dyDescent="0.35">
      <c r="A185" s="1">
        <v>184</v>
      </c>
      <c r="B185" s="1" t="s">
        <v>195</v>
      </c>
      <c r="C185" s="1" t="s">
        <v>10</v>
      </c>
      <c r="D185" s="1">
        <v>13</v>
      </c>
      <c r="E185" s="1" t="s">
        <v>11</v>
      </c>
      <c r="F185" s="1">
        <v>53</v>
      </c>
      <c r="G185" s="1">
        <v>37</v>
      </c>
      <c r="H185" s="1">
        <v>83</v>
      </c>
      <c r="I185" s="1">
        <v>64</v>
      </c>
    </row>
    <row r="186" spans="1:9" x14ac:dyDescent="0.35">
      <c r="A186" s="1">
        <v>185</v>
      </c>
      <c r="B186" s="1" t="s">
        <v>196</v>
      </c>
      <c r="C186" s="1" t="s">
        <v>13</v>
      </c>
      <c r="D186" s="1">
        <v>14</v>
      </c>
      <c r="E186" s="1" t="s">
        <v>14</v>
      </c>
      <c r="F186" s="1">
        <v>75</v>
      </c>
      <c r="G186" s="1">
        <v>14</v>
      </c>
      <c r="H186" s="1">
        <v>54</v>
      </c>
      <c r="I186" s="1">
        <v>68</v>
      </c>
    </row>
    <row r="187" spans="1:9" x14ac:dyDescent="0.35">
      <c r="A187" s="1">
        <v>186</v>
      </c>
      <c r="B187" s="1" t="s">
        <v>197</v>
      </c>
      <c r="C187" s="1" t="s">
        <v>13</v>
      </c>
      <c r="D187" s="1">
        <v>15</v>
      </c>
      <c r="E187" s="1" t="s">
        <v>18</v>
      </c>
      <c r="F187" s="1">
        <v>48</v>
      </c>
      <c r="G187" s="1">
        <v>2</v>
      </c>
      <c r="H187" s="1">
        <v>63</v>
      </c>
      <c r="I187" s="1">
        <v>91</v>
      </c>
    </row>
    <row r="188" spans="1:9" x14ac:dyDescent="0.35">
      <c r="A188" s="1">
        <v>187</v>
      </c>
      <c r="B188" s="1" t="s">
        <v>198</v>
      </c>
      <c r="C188" s="1" t="s">
        <v>13</v>
      </c>
      <c r="D188" s="1">
        <v>14</v>
      </c>
      <c r="E188" s="1" t="s">
        <v>18</v>
      </c>
      <c r="F188" s="1">
        <v>27</v>
      </c>
      <c r="G188" s="1">
        <v>11</v>
      </c>
      <c r="H188" s="1">
        <v>18</v>
      </c>
      <c r="I188" s="1">
        <v>92</v>
      </c>
    </row>
    <row r="189" spans="1:9" x14ac:dyDescent="0.35">
      <c r="A189" s="1">
        <v>188</v>
      </c>
      <c r="B189" s="1" t="s">
        <v>199</v>
      </c>
      <c r="C189" s="1" t="s">
        <v>10</v>
      </c>
      <c r="D189" s="1">
        <v>14</v>
      </c>
      <c r="E189" s="1" t="s">
        <v>14</v>
      </c>
      <c r="F189" s="1">
        <v>60</v>
      </c>
      <c r="G189" s="1">
        <v>55</v>
      </c>
      <c r="H189" s="1">
        <v>30</v>
      </c>
      <c r="I189" s="1">
        <v>83</v>
      </c>
    </row>
    <row r="190" spans="1:9" x14ac:dyDescent="0.35">
      <c r="A190" s="1">
        <v>189</v>
      </c>
      <c r="B190" s="1" t="s">
        <v>200</v>
      </c>
      <c r="C190" s="1" t="s">
        <v>10</v>
      </c>
      <c r="D190" s="1">
        <v>15</v>
      </c>
      <c r="E190" s="1" t="s">
        <v>11</v>
      </c>
      <c r="F190" s="1">
        <v>87</v>
      </c>
      <c r="G190" s="1">
        <v>21</v>
      </c>
      <c r="H190" s="1">
        <v>41</v>
      </c>
      <c r="I190" s="1">
        <v>24</v>
      </c>
    </row>
    <row r="191" spans="1:9" x14ac:dyDescent="0.35">
      <c r="A191" s="1">
        <v>190</v>
      </c>
      <c r="B191" s="1" t="s">
        <v>201</v>
      </c>
      <c r="C191" s="1" t="s">
        <v>13</v>
      </c>
      <c r="D191" s="1">
        <v>13</v>
      </c>
      <c r="E191" s="1" t="s">
        <v>18</v>
      </c>
      <c r="F191" s="1">
        <v>14</v>
      </c>
      <c r="G191" s="1">
        <v>6</v>
      </c>
      <c r="H191" s="1">
        <v>29</v>
      </c>
      <c r="I191" s="1">
        <v>72</v>
      </c>
    </row>
    <row r="192" spans="1:9" x14ac:dyDescent="0.35">
      <c r="A192" s="1">
        <v>191</v>
      </c>
      <c r="B192" s="1" t="s">
        <v>202</v>
      </c>
      <c r="C192" s="1" t="s">
        <v>13</v>
      </c>
      <c r="D192" s="1">
        <v>14</v>
      </c>
      <c r="E192" s="1" t="s">
        <v>11</v>
      </c>
      <c r="F192" s="1">
        <v>38</v>
      </c>
      <c r="G192" s="1">
        <v>66</v>
      </c>
      <c r="H192" s="1">
        <v>53</v>
      </c>
      <c r="I192" s="1">
        <v>32</v>
      </c>
    </row>
    <row r="193" spans="1:9" x14ac:dyDescent="0.35">
      <c r="A193" s="1">
        <v>192</v>
      </c>
      <c r="B193" s="1" t="s">
        <v>203</v>
      </c>
      <c r="C193" s="1" t="s">
        <v>13</v>
      </c>
      <c r="D193" s="1">
        <v>13</v>
      </c>
      <c r="E193" s="1" t="s">
        <v>14</v>
      </c>
      <c r="F193" s="1">
        <v>39</v>
      </c>
      <c r="G193" s="1">
        <v>14</v>
      </c>
      <c r="H193" s="1">
        <v>77</v>
      </c>
      <c r="I193" s="1">
        <v>53</v>
      </c>
    </row>
    <row r="194" spans="1:9" x14ac:dyDescent="0.35">
      <c r="A194" s="1">
        <v>193</v>
      </c>
      <c r="B194" s="1" t="s">
        <v>204</v>
      </c>
      <c r="C194" s="1" t="s">
        <v>13</v>
      </c>
      <c r="D194" s="1">
        <v>15</v>
      </c>
      <c r="E194" s="1" t="s">
        <v>18</v>
      </c>
      <c r="F194" s="1">
        <v>50</v>
      </c>
      <c r="G194" s="1">
        <v>48</v>
      </c>
      <c r="H194" s="1">
        <v>13</v>
      </c>
      <c r="I194" s="1">
        <v>15</v>
      </c>
    </row>
    <row r="195" spans="1:9" x14ac:dyDescent="0.35">
      <c r="A195" s="1">
        <v>194</v>
      </c>
      <c r="B195" s="1" t="s">
        <v>205</v>
      </c>
      <c r="C195" s="1" t="s">
        <v>10</v>
      </c>
      <c r="D195" s="1">
        <v>13</v>
      </c>
      <c r="E195" s="1" t="s">
        <v>14</v>
      </c>
      <c r="F195" s="1">
        <v>48</v>
      </c>
      <c r="G195" s="1">
        <v>4</v>
      </c>
      <c r="H195" s="1">
        <v>79</v>
      </c>
      <c r="I195" s="1">
        <v>76</v>
      </c>
    </row>
    <row r="196" spans="1:9" x14ac:dyDescent="0.35">
      <c r="A196" s="1">
        <v>195</v>
      </c>
      <c r="B196" s="1" t="s">
        <v>206</v>
      </c>
      <c r="C196" s="1" t="s">
        <v>13</v>
      </c>
      <c r="D196" s="1">
        <v>15</v>
      </c>
      <c r="E196" s="1" t="s">
        <v>11</v>
      </c>
      <c r="F196" s="1">
        <v>13</v>
      </c>
      <c r="G196" s="1">
        <v>35</v>
      </c>
      <c r="H196" s="1">
        <v>71</v>
      </c>
      <c r="I196" s="1">
        <v>30</v>
      </c>
    </row>
    <row r="197" spans="1:9" x14ac:dyDescent="0.35">
      <c r="A197" s="1">
        <v>196</v>
      </c>
      <c r="B197" s="1" t="s">
        <v>207</v>
      </c>
      <c r="C197" s="1" t="s">
        <v>13</v>
      </c>
      <c r="D197" s="1">
        <v>14</v>
      </c>
      <c r="E197" s="1" t="s">
        <v>18</v>
      </c>
      <c r="F197" s="1">
        <v>92</v>
      </c>
      <c r="G197" s="1">
        <v>57</v>
      </c>
      <c r="H197" s="1">
        <v>31</v>
      </c>
      <c r="I197" s="1">
        <v>75</v>
      </c>
    </row>
    <row r="198" spans="1:9" x14ac:dyDescent="0.35">
      <c r="A198" s="1">
        <v>197</v>
      </c>
      <c r="B198" s="1" t="s">
        <v>208</v>
      </c>
      <c r="C198" s="1" t="s">
        <v>10</v>
      </c>
      <c r="D198" s="1">
        <v>14</v>
      </c>
      <c r="E198" s="1" t="s">
        <v>18</v>
      </c>
      <c r="F198" s="1">
        <v>82</v>
      </c>
      <c r="G198" s="1">
        <v>4</v>
      </c>
      <c r="H198" s="1">
        <v>56</v>
      </c>
      <c r="I198" s="1">
        <v>22</v>
      </c>
    </row>
    <row r="199" spans="1:9" x14ac:dyDescent="0.35">
      <c r="A199" s="1">
        <v>198</v>
      </c>
      <c r="B199" s="1" t="s">
        <v>209</v>
      </c>
      <c r="C199" s="1" t="s">
        <v>10</v>
      </c>
      <c r="D199" s="1">
        <v>14</v>
      </c>
      <c r="E199" s="1" t="s">
        <v>14</v>
      </c>
      <c r="F199" s="1">
        <v>98</v>
      </c>
      <c r="G199" s="1">
        <v>13</v>
      </c>
      <c r="H199" s="1">
        <v>35</v>
      </c>
      <c r="I199" s="1">
        <v>4</v>
      </c>
    </row>
    <row r="200" spans="1:9" x14ac:dyDescent="0.35">
      <c r="A200" s="1">
        <v>199</v>
      </c>
      <c r="B200" s="1" t="s">
        <v>210</v>
      </c>
      <c r="C200" s="1" t="s">
        <v>13</v>
      </c>
      <c r="D200" s="1">
        <v>14</v>
      </c>
      <c r="E200" s="1" t="s">
        <v>11</v>
      </c>
      <c r="F200" s="1">
        <v>30</v>
      </c>
      <c r="G200" s="1">
        <v>62</v>
      </c>
      <c r="H200" s="1">
        <v>32</v>
      </c>
      <c r="I200" s="1">
        <v>60</v>
      </c>
    </row>
    <row r="201" spans="1:9" x14ac:dyDescent="0.35">
      <c r="A201" s="1">
        <v>200</v>
      </c>
      <c r="B201" s="1" t="s">
        <v>210</v>
      </c>
      <c r="C201" s="1" t="s">
        <v>10</v>
      </c>
      <c r="D201" s="1">
        <v>15</v>
      </c>
      <c r="E201" s="1" t="s">
        <v>18</v>
      </c>
      <c r="F201" s="1">
        <v>57</v>
      </c>
      <c r="G201" s="1">
        <v>68</v>
      </c>
      <c r="H201" s="1">
        <v>56</v>
      </c>
      <c r="I201" s="1">
        <v>23</v>
      </c>
    </row>
    <row r="202" spans="1:9" x14ac:dyDescent="0.35">
      <c r="A202" s="1">
        <v>201</v>
      </c>
      <c r="B202" s="1" t="s">
        <v>211</v>
      </c>
      <c r="C202" s="1" t="s">
        <v>10</v>
      </c>
      <c r="D202" s="1">
        <v>15</v>
      </c>
      <c r="E202" s="1" t="s">
        <v>14</v>
      </c>
      <c r="F202" s="1">
        <v>84</v>
      </c>
      <c r="G202" s="1">
        <v>97</v>
      </c>
      <c r="H202" s="1">
        <v>88</v>
      </c>
      <c r="I202" s="1">
        <v>64</v>
      </c>
    </row>
    <row r="203" spans="1:9" x14ac:dyDescent="0.35">
      <c r="A203" s="1">
        <v>202</v>
      </c>
      <c r="B203" s="1" t="s">
        <v>212</v>
      </c>
      <c r="C203" s="1" t="s">
        <v>13</v>
      </c>
      <c r="D203" s="1">
        <v>14</v>
      </c>
      <c r="E203" s="1" t="s">
        <v>11</v>
      </c>
      <c r="F203" s="1">
        <v>89</v>
      </c>
      <c r="G203" s="1">
        <v>59</v>
      </c>
      <c r="H203" s="1">
        <v>33</v>
      </c>
      <c r="I203" s="1">
        <v>91</v>
      </c>
    </row>
    <row r="204" spans="1:9" x14ac:dyDescent="0.35">
      <c r="A204" s="1">
        <v>203</v>
      </c>
      <c r="B204" s="1" t="s">
        <v>213</v>
      </c>
      <c r="C204" s="1" t="s">
        <v>13</v>
      </c>
      <c r="D204" s="1">
        <v>14</v>
      </c>
      <c r="E204" s="1" t="s">
        <v>14</v>
      </c>
      <c r="F204" s="1">
        <v>45</v>
      </c>
      <c r="G204" s="1">
        <v>21</v>
      </c>
      <c r="H204" s="1">
        <v>61</v>
      </c>
      <c r="I204" s="1">
        <v>13</v>
      </c>
    </row>
    <row r="205" spans="1:9" x14ac:dyDescent="0.35">
      <c r="A205" s="1">
        <v>204</v>
      </c>
      <c r="B205" s="1" t="s">
        <v>214</v>
      </c>
      <c r="C205" s="1" t="s">
        <v>13</v>
      </c>
      <c r="D205" s="1">
        <v>14</v>
      </c>
      <c r="E205" s="1" t="s">
        <v>14</v>
      </c>
      <c r="F205" s="1">
        <v>84</v>
      </c>
      <c r="G205" s="1">
        <v>10</v>
      </c>
      <c r="H205" s="1">
        <v>71</v>
      </c>
      <c r="I205" s="1">
        <v>8</v>
      </c>
    </row>
    <row r="206" spans="1:9" x14ac:dyDescent="0.35">
      <c r="A206" s="1">
        <v>205</v>
      </c>
      <c r="B206" s="1" t="s">
        <v>215</v>
      </c>
      <c r="C206" s="1" t="s">
        <v>10</v>
      </c>
      <c r="D206" s="1">
        <v>13</v>
      </c>
      <c r="E206" s="1" t="s">
        <v>11</v>
      </c>
      <c r="F206" s="1">
        <v>7</v>
      </c>
      <c r="G206" s="1">
        <v>47</v>
      </c>
      <c r="H206" s="1">
        <v>39</v>
      </c>
      <c r="I206" s="1">
        <v>16</v>
      </c>
    </row>
    <row r="207" spans="1:9" x14ac:dyDescent="0.35">
      <c r="A207" s="1">
        <v>206</v>
      </c>
      <c r="B207" s="1" t="s">
        <v>216</v>
      </c>
      <c r="C207" s="1" t="s">
        <v>13</v>
      </c>
      <c r="D207" s="1">
        <v>15</v>
      </c>
      <c r="E207" s="1" t="s">
        <v>11</v>
      </c>
      <c r="F207" s="1">
        <v>54</v>
      </c>
      <c r="G207" s="1">
        <v>89</v>
      </c>
      <c r="H207" s="1">
        <v>59</v>
      </c>
      <c r="I207" s="1">
        <v>88</v>
      </c>
    </row>
    <row r="208" spans="1:9" x14ac:dyDescent="0.35">
      <c r="A208" s="1">
        <v>207</v>
      </c>
      <c r="B208" s="1" t="s">
        <v>217</v>
      </c>
      <c r="C208" s="1" t="s">
        <v>13</v>
      </c>
      <c r="D208" s="1">
        <v>14</v>
      </c>
      <c r="E208" s="1" t="s">
        <v>11</v>
      </c>
      <c r="F208" s="1">
        <v>49</v>
      </c>
      <c r="G208" s="1">
        <v>48</v>
      </c>
      <c r="H208" s="1">
        <v>81</v>
      </c>
      <c r="I208" s="1">
        <v>44</v>
      </c>
    </row>
    <row r="209" spans="1:9" x14ac:dyDescent="0.35">
      <c r="A209" s="1">
        <v>208</v>
      </c>
      <c r="B209" s="1" t="s">
        <v>218</v>
      </c>
      <c r="C209" s="1" t="s">
        <v>13</v>
      </c>
      <c r="D209" s="1">
        <v>13</v>
      </c>
      <c r="E209" s="1" t="s">
        <v>18</v>
      </c>
      <c r="F209" s="1">
        <v>56</v>
      </c>
      <c r="G209" s="1">
        <v>12</v>
      </c>
      <c r="H209" s="1">
        <v>75</v>
      </c>
      <c r="I209" s="1">
        <v>96</v>
      </c>
    </row>
    <row r="210" spans="1:9" x14ac:dyDescent="0.35">
      <c r="A210" s="1">
        <v>209</v>
      </c>
      <c r="B210" s="1" t="s">
        <v>219</v>
      </c>
      <c r="C210" s="1" t="s">
        <v>10</v>
      </c>
      <c r="D210" s="1">
        <v>14</v>
      </c>
      <c r="E210" s="1" t="s">
        <v>11</v>
      </c>
      <c r="F210" s="1">
        <v>59</v>
      </c>
      <c r="G210" s="1">
        <v>94</v>
      </c>
      <c r="H210" s="1">
        <v>94</v>
      </c>
      <c r="I210" s="1">
        <v>47</v>
      </c>
    </row>
    <row r="211" spans="1:9" x14ac:dyDescent="0.35">
      <c r="A211" s="1">
        <v>210</v>
      </c>
      <c r="B211" s="1" t="s">
        <v>220</v>
      </c>
      <c r="C211" s="1" t="s">
        <v>13</v>
      </c>
      <c r="D211" s="1">
        <v>13</v>
      </c>
      <c r="E211" s="1" t="s">
        <v>18</v>
      </c>
      <c r="F211" s="1">
        <v>7</v>
      </c>
      <c r="G211" s="1">
        <v>29</v>
      </c>
      <c r="H211" s="1">
        <v>30</v>
      </c>
      <c r="I211" s="1">
        <v>23</v>
      </c>
    </row>
    <row r="212" spans="1:9" x14ac:dyDescent="0.35">
      <c r="A212" s="1">
        <v>211</v>
      </c>
      <c r="B212" s="1" t="s">
        <v>221</v>
      </c>
      <c r="C212" s="1" t="s">
        <v>13</v>
      </c>
      <c r="D212" s="1">
        <v>14</v>
      </c>
      <c r="E212" s="1" t="s">
        <v>18</v>
      </c>
      <c r="F212" s="1">
        <v>28</v>
      </c>
      <c r="G212" s="1">
        <v>30</v>
      </c>
      <c r="H212" s="1">
        <v>80</v>
      </c>
      <c r="I212" s="1">
        <v>33</v>
      </c>
    </row>
    <row r="213" spans="1:9" x14ac:dyDescent="0.35">
      <c r="A213" s="1">
        <v>212</v>
      </c>
      <c r="B213" s="1" t="s">
        <v>222</v>
      </c>
      <c r="C213" s="1" t="s">
        <v>13</v>
      </c>
      <c r="D213" s="1">
        <v>15</v>
      </c>
      <c r="E213" s="1" t="s">
        <v>18</v>
      </c>
      <c r="F213" s="1">
        <v>85</v>
      </c>
      <c r="G213" s="1">
        <v>8</v>
      </c>
      <c r="H213" s="1">
        <v>88</v>
      </c>
      <c r="I213" s="1">
        <v>82</v>
      </c>
    </row>
    <row r="214" spans="1:9" x14ac:dyDescent="0.35">
      <c r="A214" s="1">
        <v>213</v>
      </c>
      <c r="B214" s="1" t="s">
        <v>223</v>
      </c>
      <c r="C214" s="1" t="s">
        <v>13</v>
      </c>
      <c r="D214" s="1">
        <v>15</v>
      </c>
      <c r="E214" s="1" t="s">
        <v>11</v>
      </c>
      <c r="F214" s="1">
        <v>63</v>
      </c>
      <c r="G214" s="1">
        <v>92</v>
      </c>
      <c r="H214" s="1">
        <v>38</v>
      </c>
      <c r="I214" s="1">
        <v>60</v>
      </c>
    </row>
    <row r="215" spans="1:9" x14ac:dyDescent="0.35">
      <c r="A215" s="1">
        <v>214</v>
      </c>
      <c r="B215" s="1" t="s">
        <v>224</v>
      </c>
      <c r="C215" s="1" t="s">
        <v>10</v>
      </c>
      <c r="D215" s="1">
        <v>15</v>
      </c>
      <c r="E215" s="1" t="s">
        <v>18</v>
      </c>
      <c r="F215" s="1">
        <v>87</v>
      </c>
      <c r="G215" s="1">
        <v>17</v>
      </c>
      <c r="H215" s="1">
        <v>94</v>
      </c>
      <c r="I215" s="1">
        <v>41</v>
      </c>
    </row>
    <row r="216" spans="1:9" x14ac:dyDescent="0.35">
      <c r="A216" s="1">
        <v>215</v>
      </c>
      <c r="B216" s="1" t="s">
        <v>225</v>
      </c>
      <c r="C216" s="1" t="s">
        <v>13</v>
      </c>
      <c r="D216" s="1">
        <v>13</v>
      </c>
      <c r="E216" s="1" t="s">
        <v>11</v>
      </c>
      <c r="F216" s="1">
        <v>68</v>
      </c>
      <c r="G216" s="1">
        <v>79</v>
      </c>
      <c r="H216" s="1">
        <v>71</v>
      </c>
      <c r="I216" s="1">
        <v>41</v>
      </c>
    </row>
    <row r="217" spans="1:9" x14ac:dyDescent="0.35">
      <c r="A217" s="1">
        <v>216</v>
      </c>
      <c r="B217" s="1" t="s">
        <v>226</v>
      </c>
      <c r="C217" s="1" t="s">
        <v>13</v>
      </c>
      <c r="D217" s="1">
        <v>15</v>
      </c>
      <c r="E217" s="1" t="s">
        <v>18</v>
      </c>
      <c r="F217" s="1">
        <v>5</v>
      </c>
      <c r="G217" s="1">
        <v>86</v>
      </c>
      <c r="H217" s="1">
        <v>48</v>
      </c>
      <c r="I217" s="1">
        <v>57</v>
      </c>
    </row>
    <row r="218" spans="1:9" x14ac:dyDescent="0.35">
      <c r="A218" s="1">
        <v>217</v>
      </c>
      <c r="B218" s="1" t="s">
        <v>227</v>
      </c>
      <c r="C218" s="1" t="s">
        <v>10</v>
      </c>
      <c r="D218" s="1">
        <v>14</v>
      </c>
      <c r="E218" s="1" t="s">
        <v>18</v>
      </c>
      <c r="F218" s="1">
        <v>71</v>
      </c>
      <c r="G218" s="1">
        <v>88</v>
      </c>
      <c r="H218" s="1">
        <v>44</v>
      </c>
      <c r="I218" s="1">
        <v>13</v>
      </c>
    </row>
    <row r="219" spans="1:9" x14ac:dyDescent="0.35">
      <c r="A219" s="1">
        <v>218</v>
      </c>
      <c r="B219" s="1" t="s">
        <v>228</v>
      </c>
      <c r="C219" s="1" t="s">
        <v>13</v>
      </c>
      <c r="D219" s="1">
        <v>13</v>
      </c>
      <c r="E219" s="1" t="s">
        <v>14</v>
      </c>
      <c r="F219" s="1">
        <v>72</v>
      </c>
      <c r="G219" s="1">
        <v>46</v>
      </c>
      <c r="H219" s="1">
        <v>40</v>
      </c>
      <c r="I219" s="1">
        <v>90</v>
      </c>
    </row>
    <row r="220" spans="1:9" x14ac:dyDescent="0.35">
      <c r="A220" s="1">
        <v>219</v>
      </c>
      <c r="B220" s="1" t="s">
        <v>229</v>
      </c>
      <c r="C220" s="1" t="s">
        <v>13</v>
      </c>
      <c r="D220" s="1">
        <v>14</v>
      </c>
      <c r="E220" s="1" t="s">
        <v>11</v>
      </c>
      <c r="F220" s="1">
        <v>58</v>
      </c>
      <c r="G220" s="1">
        <v>60</v>
      </c>
      <c r="H220" s="1">
        <v>7</v>
      </c>
      <c r="I220" s="1">
        <v>90</v>
      </c>
    </row>
    <row r="221" spans="1:9" x14ac:dyDescent="0.35">
      <c r="A221" s="1">
        <v>220</v>
      </c>
      <c r="B221" s="1" t="s">
        <v>230</v>
      </c>
      <c r="C221" s="1" t="s">
        <v>13</v>
      </c>
      <c r="D221" s="1">
        <v>13</v>
      </c>
      <c r="E221" s="1" t="s">
        <v>14</v>
      </c>
      <c r="F221" s="1">
        <v>81</v>
      </c>
      <c r="G221" s="1">
        <v>63</v>
      </c>
      <c r="H221" s="1">
        <v>16</v>
      </c>
      <c r="I221" s="1">
        <v>62</v>
      </c>
    </row>
    <row r="222" spans="1:9" x14ac:dyDescent="0.35">
      <c r="A222" s="1">
        <v>221</v>
      </c>
      <c r="B222" s="1" t="s">
        <v>231</v>
      </c>
      <c r="C222" s="1" t="s">
        <v>13</v>
      </c>
      <c r="D222" s="1">
        <v>14</v>
      </c>
      <c r="E222" s="1" t="s">
        <v>18</v>
      </c>
      <c r="F222" s="1">
        <v>6</v>
      </c>
      <c r="G222" s="1">
        <v>53</v>
      </c>
      <c r="H222" s="1">
        <v>71</v>
      </c>
      <c r="I222" s="1">
        <v>21</v>
      </c>
    </row>
    <row r="223" spans="1:9" x14ac:dyDescent="0.35">
      <c r="A223" s="1">
        <v>222</v>
      </c>
      <c r="B223" s="1" t="s">
        <v>232</v>
      </c>
      <c r="C223" s="1" t="s">
        <v>10</v>
      </c>
      <c r="D223" s="1">
        <v>13</v>
      </c>
      <c r="E223" s="1" t="s">
        <v>18</v>
      </c>
      <c r="F223" s="1">
        <v>60</v>
      </c>
      <c r="G223" s="1">
        <v>52</v>
      </c>
      <c r="H223" s="1">
        <v>85</v>
      </c>
      <c r="I223" s="1">
        <v>39</v>
      </c>
    </row>
    <row r="224" spans="1:9" x14ac:dyDescent="0.35">
      <c r="A224" s="1">
        <v>223</v>
      </c>
      <c r="B224" s="1" t="s">
        <v>233</v>
      </c>
      <c r="C224" s="1" t="s">
        <v>10</v>
      </c>
      <c r="D224" s="1">
        <v>15</v>
      </c>
      <c r="E224" s="1" t="s">
        <v>14</v>
      </c>
      <c r="F224" s="1">
        <v>92</v>
      </c>
      <c r="G224" s="1">
        <v>76</v>
      </c>
      <c r="H224" s="1">
        <v>72</v>
      </c>
      <c r="I224" s="1">
        <v>71</v>
      </c>
    </row>
    <row r="225" spans="1:9" x14ac:dyDescent="0.35">
      <c r="A225" s="1">
        <v>224</v>
      </c>
      <c r="B225" s="1" t="s">
        <v>234</v>
      </c>
      <c r="C225" s="1" t="s">
        <v>10</v>
      </c>
      <c r="D225" s="1">
        <v>13</v>
      </c>
      <c r="E225" s="1" t="s">
        <v>18</v>
      </c>
      <c r="F225" s="1">
        <v>100</v>
      </c>
      <c r="G225" s="1">
        <v>95</v>
      </c>
      <c r="H225" s="1">
        <v>36</v>
      </c>
      <c r="I225" s="1">
        <v>10</v>
      </c>
    </row>
    <row r="226" spans="1:9" x14ac:dyDescent="0.35">
      <c r="A226" s="1">
        <v>225</v>
      </c>
      <c r="B226" s="1" t="s">
        <v>235</v>
      </c>
      <c r="C226" s="1" t="s">
        <v>10</v>
      </c>
      <c r="D226" s="1">
        <v>13</v>
      </c>
      <c r="E226" s="1" t="s">
        <v>11</v>
      </c>
      <c r="F226" s="1">
        <v>84</v>
      </c>
      <c r="G226" s="1">
        <v>10</v>
      </c>
      <c r="H226" s="1">
        <v>82</v>
      </c>
      <c r="I226" s="1">
        <v>93</v>
      </c>
    </row>
    <row r="227" spans="1:9" x14ac:dyDescent="0.35">
      <c r="A227" s="1">
        <v>226</v>
      </c>
      <c r="B227" s="1" t="s">
        <v>236</v>
      </c>
      <c r="C227" s="1" t="s">
        <v>10</v>
      </c>
      <c r="D227" s="1">
        <v>15</v>
      </c>
      <c r="E227" s="1" t="s">
        <v>14</v>
      </c>
      <c r="F227" s="1">
        <v>16</v>
      </c>
      <c r="G227" s="1">
        <v>4</v>
      </c>
      <c r="H227" s="1">
        <v>49</v>
      </c>
      <c r="I227" s="1">
        <v>1</v>
      </c>
    </row>
    <row r="228" spans="1:9" x14ac:dyDescent="0.35">
      <c r="A228" s="1">
        <v>227</v>
      </c>
      <c r="B228" s="1" t="s">
        <v>237</v>
      </c>
      <c r="C228" s="1" t="s">
        <v>10</v>
      </c>
      <c r="D228" s="1">
        <v>14</v>
      </c>
      <c r="E228" s="1" t="s">
        <v>11</v>
      </c>
      <c r="F228" s="1">
        <v>22</v>
      </c>
      <c r="G228" s="1">
        <v>26</v>
      </c>
      <c r="H228" s="1">
        <v>1</v>
      </c>
      <c r="I228" s="1">
        <v>28</v>
      </c>
    </row>
    <row r="229" spans="1:9" x14ac:dyDescent="0.35">
      <c r="A229" s="1">
        <v>228</v>
      </c>
      <c r="B229" s="1" t="s">
        <v>238</v>
      </c>
      <c r="C229" s="1" t="s">
        <v>10</v>
      </c>
      <c r="D229" s="1">
        <v>14</v>
      </c>
      <c r="E229" s="1" t="s">
        <v>14</v>
      </c>
      <c r="F229" s="1">
        <v>78</v>
      </c>
      <c r="G229" s="1">
        <v>63</v>
      </c>
      <c r="H229" s="1">
        <v>62</v>
      </c>
      <c r="I229" s="1">
        <v>38</v>
      </c>
    </row>
    <row r="230" spans="1:9" x14ac:dyDescent="0.35">
      <c r="A230" s="1">
        <v>229</v>
      </c>
      <c r="B230" s="1" t="s">
        <v>239</v>
      </c>
      <c r="C230" s="1" t="s">
        <v>10</v>
      </c>
      <c r="D230" s="1">
        <v>14</v>
      </c>
      <c r="E230" s="1" t="s">
        <v>11</v>
      </c>
      <c r="F230" s="1">
        <v>4</v>
      </c>
      <c r="G230" s="1">
        <v>15</v>
      </c>
      <c r="H230" s="1">
        <v>6</v>
      </c>
      <c r="I230" s="1">
        <v>32</v>
      </c>
    </row>
    <row r="231" spans="1:9" x14ac:dyDescent="0.35">
      <c r="A231" s="1">
        <v>230</v>
      </c>
      <c r="B231" s="1" t="s">
        <v>240</v>
      </c>
      <c r="C231" s="1" t="s">
        <v>13</v>
      </c>
      <c r="D231" s="1">
        <v>15</v>
      </c>
      <c r="E231" s="1" t="s">
        <v>11</v>
      </c>
      <c r="F231" s="1">
        <v>15</v>
      </c>
      <c r="G231" s="1">
        <v>26</v>
      </c>
      <c r="H231" s="1">
        <v>83</v>
      </c>
      <c r="I231" s="1">
        <v>75</v>
      </c>
    </row>
    <row r="232" spans="1:9" x14ac:dyDescent="0.35">
      <c r="A232" s="1">
        <v>231</v>
      </c>
      <c r="B232" s="1" t="s">
        <v>241</v>
      </c>
      <c r="C232" s="1" t="s">
        <v>13</v>
      </c>
      <c r="D232" s="1">
        <v>15</v>
      </c>
      <c r="E232" s="1" t="s">
        <v>14</v>
      </c>
      <c r="F232" s="1">
        <v>50</v>
      </c>
      <c r="G232" s="1">
        <v>70</v>
      </c>
      <c r="H232" s="1">
        <v>31</v>
      </c>
      <c r="I232" s="1">
        <v>98</v>
      </c>
    </row>
    <row r="233" spans="1:9" x14ac:dyDescent="0.35">
      <c r="A233" s="1">
        <v>232</v>
      </c>
      <c r="B233" s="1" t="s">
        <v>242</v>
      </c>
      <c r="C233" s="1" t="s">
        <v>13</v>
      </c>
      <c r="D233" s="1">
        <v>13</v>
      </c>
      <c r="E233" s="1" t="s">
        <v>18</v>
      </c>
      <c r="F233" s="1">
        <v>81</v>
      </c>
      <c r="G233" s="1">
        <v>45</v>
      </c>
      <c r="H233" s="1">
        <v>22</v>
      </c>
      <c r="I233" s="1">
        <v>36</v>
      </c>
    </row>
    <row r="234" spans="1:9" x14ac:dyDescent="0.35">
      <c r="A234" s="1">
        <v>233</v>
      </c>
      <c r="B234" s="1" t="s">
        <v>243</v>
      </c>
      <c r="C234" s="1" t="s">
        <v>13</v>
      </c>
      <c r="D234" s="1">
        <v>14</v>
      </c>
      <c r="E234" s="1" t="s">
        <v>14</v>
      </c>
      <c r="F234" s="1">
        <v>65</v>
      </c>
      <c r="G234" s="1">
        <v>32</v>
      </c>
      <c r="H234" s="1">
        <v>67</v>
      </c>
      <c r="I234" s="1">
        <v>35</v>
      </c>
    </row>
    <row r="235" spans="1:9" x14ac:dyDescent="0.35">
      <c r="A235" s="1">
        <v>234</v>
      </c>
      <c r="B235" s="1" t="s">
        <v>244</v>
      </c>
      <c r="C235" s="1" t="s">
        <v>13</v>
      </c>
      <c r="D235" s="1">
        <v>15</v>
      </c>
      <c r="E235" s="1" t="s">
        <v>11</v>
      </c>
      <c r="F235" s="1">
        <v>91</v>
      </c>
      <c r="G235" s="1">
        <v>33</v>
      </c>
      <c r="H235" s="1">
        <v>71</v>
      </c>
      <c r="I235" s="1">
        <v>81</v>
      </c>
    </row>
    <row r="236" spans="1:9" x14ac:dyDescent="0.35">
      <c r="A236" s="1">
        <v>235</v>
      </c>
      <c r="B236" s="1" t="s">
        <v>245</v>
      </c>
      <c r="C236" s="1" t="s">
        <v>13</v>
      </c>
      <c r="D236" s="1">
        <v>13</v>
      </c>
      <c r="E236" s="1" t="s">
        <v>11</v>
      </c>
      <c r="F236" s="1">
        <v>31</v>
      </c>
      <c r="G236" s="1">
        <v>9</v>
      </c>
      <c r="H236" s="1">
        <v>79</v>
      </c>
      <c r="I236" s="1">
        <v>54</v>
      </c>
    </row>
    <row r="237" spans="1:9" x14ac:dyDescent="0.35">
      <c r="A237" s="1">
        <v>236</v>
      </c>
      <c r="B237" s="1" t="s">
        <v>246</v>
      </c>
      <c r="C237" s="1" t="s">
        <v>10</v>
      </c>
      <c r="D237" s="1">
        <v>15</v>
      </c>
      <c r="E237" s="1" t="s">
        <v>14</v>
      </c>
      <c r="F237" s="1">
        <v>98</v>
      </c>
      <c r="G237" s="1">
        <v>30</v>
      </c>
      <c r="H237" s="1">
        <v>37</v>
      </c>
      <c r="I237" s="1">
        <v>56</v>
      </c>
    </row>
    <row r="238" spans="1:9" x14ac:dyDescent="0.35">
      <c r="A238" s="1">
        <v>237</v>
      </c>
      <c r="B238" s="1" t="s">
        <v>247</v>
      </c>
      <c r="C238" s="1" t="s">
        <v>13</v>
      </c>
      <c r="D238" s="1">
        <v>15</v>
      </c>
      <c r="E238" s="1" t="s">
        <v>11</v>
      </c>
      <c r="F238" s="1">
        <v>92</v>
      </c>
      <c r="G238" s="1">
        <v>87</v>
      </c>
      <c r="H238" s="1">
        <v>38</v>
      </c>
      <c r="I238" s="1">
        <v>53</v>
      </c>
    </row>
    <row r="239" spans="1:9" x14ac:dyDescent="0.35">
      <c r="A239" s="1">
        <v>238</v>
      </c>
      <c r="B239" s="1" t="s">
        <v>248</v>
      </c>
      <c r="C239" s="1" t="s">
        <v>10</v>
      </c>
      <c r="D239" s="1">
        <v>15</v>
      </c>
      <c r="E239" s="1" t="s">
        <v>18</v>
      </c>
      <c r="F239" s="1">
        <v>54</v>
      </c>
      <c r="G239" s="1">
        <v>34</v>
      </c>
      <c r="H239" s="1">
        <v>66</v>
      </c>
      <c r="I239" s="1">
        <v>97</v>
      </c>
    </row>
    <row r="240" spans="1:9" x14ac:dyDescent="0.35">
      <c r="A240" s="1">
        <v>239</v>
      </c>
      <c r="B240" s="1" t="s">
        <v>249</v>
      </c>
      <c r="C240" s="1" t="s">
        <v>10</v>
      </c>
      <c r="D240" s="1">
        <v>14</v>
      </c>
      <c r="E240" s="1" t="s">
        <v>18</v>
      </c>
      <c r="F240" s="1">
        <v>49</v>
      </c>
      <c r="G240" s="1">
        <v>47</v>
      </c>
      <c r="H240" s="1">
        <v>19</v>
      </c>
      <c r="I240" s="1">
        <v>55</v>
      </c>
    </row>
    <row r="241" spans="1:9" x14ac:dyDescent="0.35">
      <c r="A241" s="1">
        <v>240</v>
      </c>
      <c r="B241" s="1" t="s">
        <v>250</v>
      </c>
      <c r="C241" s="1" t="s">
        <v>13</v>
      </c>
      <c r="D241" s="1">
        <v>15</v>
      </c>
      <c r="E241" s="1" t="s">
        <v>11</v>
      </c>
      <c r="F241" s="1">
        <v>2</v>
      </c>
      <c r="G241" s="1">
        <v>4</v>
      </c>
      <c r="H241" s="1">
        <v>48</v>
      </c>
      <c r="I241" s="1">
        <v>46</v>
      </c>
    </row>
    <row r="242" spans="1:9" x14ac:dyDescent="0.35">
      <c r="A242" s="1">
        <v>241</v>
      </c>
      <c r="B242" s="1" t="s">
        <v>251</v>
      </c>
      <c r="C242" s="1" t="s">
        <v>13</v>
      </c>
      <c r="D242" s="1">
        <v>14</v>
      </c>
      <c r="E242" s="1" t="s">
        <v>11</v>
      </c>
      <c r="F242" s="1">
        <v>76</v>
      </c>
      <c r="G242" s="1">
        <v>15</v>
      </c>
      <c r="H242" s="1">
        <v>70</v>
      </c>
      <c r="I242" s="1">
        <v>35</v>
      </c>
    </row>
    <row r="243" spans="1:9" x14ac:dyDescent="0.35">
      <c r="A243" s="1">
        <v>242</v>
      </c>
      <c r="B243" s="1" t="s">
        <v>252</v>
      </c>
      <c r="C243" s="1" t="s">
        <v>13</v>
      </c>
      <c r="D243" s="1">
        <v>15</v>
      </c>
      <c r="E243" s="1" t="s">
        <v>11</v>
      </c>
      <c r="F243" s="1">
        <v>3</v>
      </c>
      <c r="G243" s="1">
        <v>49</v>
      </c>
      <c r="H243" s="1">
        <v>67</v>
      </c>
      <c r="I243" s="1">
        <v>96</v>
      </c>
    </row>
    <row r="244" spans="1:9" x14ac:dyDescent="0.35">
      <c r="A244" s="1">
        <v>243</v>
      </c>
      <c r="B244" s="1" t="s">
        <v>253</v>
      </c>
      <c r="C244" s="1" t="s">
        <v>10</v>
      </c>
      <c r="D244" s="1">
        <v>13</v>
      </c>
      <c r="E244" s="1" t="s">
        <v>14</v>
      </c>
      <c r="F244" s="1">
        <v>17</v>
      </c>
      <c r="G244" s="1">
        <v>24</v>
      </c>
      <c r="H244" s="1">
        <v>41</v>
      </c>
      <c r="I244" s="1">
        <v>21</v>
      </c>
    </row>
    <row r="245" spans="1:9" x14ac:dyDescent="0.35">
      <c r="A245" s="1">
        <v>244</v>
      </c>
      <c r="B245" s="1" t="s">
        <v>254</v>
      </c>
      <c r="C245" s="1" t="s">
        <v>13</v>
      </c>
      <c r="D245" s="1">
        <v>13</v>
      </c>
      <c r="E245" s="1" t="s">
        <v>11</v>
      </c>
      <c r="F245" s="1">
        <v>95</v>
      </c>
      <c r="G245" s="1">
        <v>63</v>
      </c>
      <c r="H245" s="1">
        <v>65</v>
      </c>
      <c r="I245" s="1">
        <v>71</v>
      </c>
    </row>
    <row r="246" spans="1:9" x14ac:dyDescent="0.35">
      <c r="A246" s="1">
        <v>245</v>
      </c>
      <c r="B246" s="1" t="s">
        <v>255</v>
      </c>
      <c r="C246" s="1" t="s">
        <v>10</v>
      </c>
      <c r="D246" s="1">
        <v>15</v>
      </c>
      <c r="E246" s="1" t="s">
        <v>11</v>
      </c>
      <c r="F246" s="1">
        <v>11</v>
      </c>
      <c r="G246" s="1">
        <v>53</v>
      </c>
      <c r="H246" s="1">
        <v>15</v>
      </c>
      <c r="I246" s="1">
        <v>13</v>
      </c>
    </row>
    <row r="247" spans="1:9" x14ac:dyDescent="0.35">
      <c r="A247" s="1">
        <v>246</v>
      </c>
      <c r="B247" s="1" t="s">
        <v>256</v>
      </c>
      <c r="C247" s="1" t="s">
        <v>13</v>
      </c>
      <c r="D247" s="1">
        <v>13</v>
      </c>
      <c r="E247" s="1" t="s">
        <v>11</v>
      </c>
      <c r="F247" s="1">
        <v>28</v>
      </c>
      <c r="G247" s="1">
        <v>15</v>
      </c>
      <c r="H247" s="1">
        <v>25</v>
      </c>
      <c r="I247" s="1">
        <v>10</v>
      </c>
    </row>
    <row r="248" spans="1:9" x14ac:dyDescent="0.35">
      <c r="A248" s="1">
        <v>247</v>
      </c>
      <c r="B248" s="1" t="s">
        <v>257</v>
      </c>
      <c r="C248" s="1" t="s">
        <v>10</v>
      </c>
      <c r="D248" s="1">
        <v>13</v>
      </c>
      <c r="E248" s="1" t="s">
        <v>14</v>
      </c>
      <c r="F248" s="1">
        <v>1</v>
      </c>
      <c r="G248" s="1">
        <v>4</v>
      </c>
      <c r="H248" s="1">
        <v>68</v>
      </c>
      <c r="I248" s="1">
        <v>65</v>
      </c>
    </row>
    <row r="249" spans="1:9" x14ac:dyDescent="0.35">
      <c r="A249" s="1">
        <v>248</v>
      </c>
      <c r="B249" s="1" t="s">
        <v>258</v>
      </c>
      <c r="C249" s="1" t="s">
        <v>13</v>
      </c>
      <c r="D249" s="1">
        <v>15</v>
      </c>
      <c r="E249" s="1" t="s">
        <v>14</v>
      </c>
      <c r="F249" s="1">
        <v>93</v>
      </c>
      <c r="G249" s="1">
        <v>48</v>
      </c>
      <c r="H249" s="1">
        <v>82</v>
      </c>
      <c r="I249" s="1">
        <v>44</v>
      </c>
    </row>
    <row r="250" spans="1:9" x14ac:dyDescent="0.35">
      <c r="A250" s="1">
        <v>249</v>
      </c>
      <c r="B250" s="1" t="s">
        <v>259</v>
      </c>
      <c r="C250" s="1" t="s">
        <v>10</v>
      </c>
      <c r="D250" s="1">
        <v>14</v>
      </c>
      <c r="E250" s="1" t="s">
        <v>14</v>
      </c>
      <c r="F250" s="1">
        <v>35</v>
      </c>
      <c r="G250" s="1">
        <v>73</v>
      </c>
      <c r="H250" s="1">
        <v>66</v>
      </c>
      <c r="I250" s="1">
        <v>59</v>
      </c>
    </row>
    <row r="251" spans="1:9" x14ac:dyDescent="0.35">
      <c r="A251" s="1">
        <v>250</v>
      </c>
      <c r="B251" s="1" t="s">
        <v>260</v>
      </c>
      <c r="C251" s="1" t="s">
        <v>13</v>
      </c>
      <c r="D251" s="1">
        <v>15</v>
      </c>
      <c r="E251" s="1" t="s">
        <v>14</v>
      </c>
      <c r="F251" s="1">
        <v>50</v>
      </c>
      <c r="G251" s="1">
        <v>8</v>
      </c>
      <c r="H251" s="1">
        <v>80</v>
      </c>
      <c r="I251" s="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CFEC-9273-4B83-AEFF-AACE2A7532C2}">
  <dimension ref="A1:X251"/>
  <sheetViews>
    <sheetView workbookViewId="0">
      <selection activeCell="C8" sqref="C8"/>
    </sheetView>
  </sheetViews>
  <sheetFormatPr defaultRowHeight="14.5" x14ac:dyDescent="0.35"/>
  <cols>
    <col min="10" max="10" width="10.6328125" bestFit="1" customWidth="1"/>
    <col min="12" max="12" width="10.1796875" bestFit="1" customWidth="1"/>
    <col min="13" max="13" width="16.6328125" bestFit="1" customWidth="1"/>
    <col min="14" max="14" width="11.6328125" bestFit="1" customWidth="1"/>
  </cols>
  <sheetData>
    <row r="1" spans="1:2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261</v>
      </c>
      <c r="K1" s="5" t="s">
        <v>263</v>
      </c>
      <c r="L1" s="7" t="s">
        <v>265</v>
      </c>
      <c r="M1" s="10" t="s">
        <v>273</v>
      </c>
      <c r="N1" s="11" t="s">
        <v>268</v>
      </c>
    </row>
    <row r="2" spans="1:23" x14ac:dyDescent="0.35">
      <c r="A2" s="1">
        <v>1</v>
      </c>
      <c r="B2" s="1" t="s">
        <v>9</v>
      </c>
      <c r="C2" s="1" t="s">
        <v>10</v>
      </c>
      <c r="D2" s="1">
        <v>13</v>
      </c>
      <c r="E2" s="1" t="s">
        <v>11</v>
      </c>
      <c r="F2" s="1">
        <v>21</v>
      </c>
      <c r="G2" s="1">
        <v>81</v>
      </c>
      <c r="H2" s="1">
        <v>62</v>
      </c>
      <c r="I2" s="1">
        <v>49</v>
      </c>
      <c r="J2" s="2">
        <f>SUM(E2:I2)</f>
        <v>213</v>
      </c>
      <c r="K2" s="6">
        <f>AVERAGE(F2:I2)</f>
        <v>53.25</v>
      </c>
      <c r="L2" s="8">
        <f>(J2/400)*100</f>
        <v>53.25</v>
      </c>
      <c r="M2" s="9" t="str">
        <f>IF(AND(F2&gt;=35,G2&gt;=35,H2&gt;=35,I2&gt;=35),"Pass","Fail")</f>
        <v>Fail</v>
      </c>
      <c r="N2" s="12" t="str">
        <f>IF(L2&gt;=75,"A",IF(L2&gt;=60,"B",IF(L2&gt;=50,"C",IF(L2&gt;=35,"D","F"))))</f>
        <v>C</v>
      </c>
    </row>
    <row r="3" spans="1:23" x14ac:dyDescent="0.35">
      <c r="A3" s="1">
        <v>2</v>
      </c>
      <c r="B3" s="1" t="s">
        <v>12</v>
      </c>
      <c r="C3" s="1" t="s">
        <v>13</v>
      </c>
      <c r="D3" s="1">
        <v>15</v>
      </c>
      <c r="E3" s="1" t="s">
        <v>14</v>
      </c>
      <c r="F3" s="1">
        <v>29</v>
      </c>
      <c r="G3" s="1">
        <v>41</v>
      </c>
      <c r="H3" s="1">
        <v>17</v>
      </c>
      <c r="I3" s="1">
        <v>40</v>
      </c>
      <c r="J3" s="2">
        <f t="shared" ref="J3:J66" si="0">SUM(E3:I3)</f>
        <v>127</v>
      </c>
      <c r="K3" s="6">
        <f t="shared" ref="K3:K66" si="1">AVERAGE(F3:I3)</f>
        <v>31.75</v>
      </c>
      <c r="L3" s="8">
        <f t="shared" ref="L3:L66" si="2">(J3/400)*100</f>
        <v>31.75</v>
      </c>
      <c r="M3" s="9" t="str">
        <f t="shared" ref="M3:M66" si="3">IF(AND(F3&gt;=35,G3&gt;=35,H3&gt;=35,I3&gt;=35),"Pass","Fail")</f>
        <v>Fail</v>
      </c>
      <c r="N3" s="12" t="str">
        <f t="shared" ref="N3:N66" si="4">IF(L3&gt;=75,"A",IF(L3&gt;=60,"B",IF(L3&gt;=50,"C",IF(L3&gt;=35,"D","F"))))</f>
        <v>F</v>
      </c>
      <c r="P3" s="17" t="s">
        <v>262</v>
      </c>
      <c r="Q3" s="17"/>
      <c r="R3" s="17"/>
      <c r="U3" s="15" t="s">
        <v>270</v>
      </c>
      <c r="V3" s="15"/>
      <c r="W3" s="15"/>
    </row>
    <row r="4" spans="1:23" x14ac:dyDescent="0.35">
      <c r="A4" s="1">
        <v>3</v>
      </c>
      <c r="B4" s="1" t="s">
        <v>15</v>
      </c>
      <c r="C4" s="1" t="s">
        <v>10</v>
      </c>
      <c r="D4" s="1">
        <v>14</v>
      </c>
      <c r="E4" s="1" t="s">
        <v>11</v>
      </c>
      <c r="F4" s="1">
        <v>12</v>
      </c>
      <c r="G4" s="1">
        <v>87</v>
      </c>
      <c r="H4" s="1">
        <v>16</v>
      </c>
      <c r="I4" s="1">
        <v>96</v>
      </c>
      <c r="J4" s="2">
        <f t="shared" si="0"/>
        <v>211</v>
      </c>
      <c r="K4" s="6">
        <f t="shared" si="1"/>
        <v>52.75</v>
      </c>
      <c r="L4" s="8">
        <f t="shared" si="2"/>
        <v>52.75</v>
      </c>
      <c r="M4" s="9" t="str">
        <f t="shared" si="3"/>
        <v>Fail</v>
      </c>
      <c r="N4" s="12" t="str">
        <f t="shared" si="4"/>
        <v>C</v>
      </c>
      <c r="P4" s="17"/>
      <c r="Q4" s="17"/>
      <c r="R4" s="17"/>
      <c r="U4" s="15"/>
      <c r="V4" s="15"/>
      <c r="W4" s="15"/>
    </row>
    <row r="5" spans="1:23" x14ac:dyDescent="0.35">
      <c r="A5" s="1">
        <v>4</v>
      </c>
      <c r="B5" s="1" t="s">
        <v>16</v>
      </c>
      <c r="C5" s="1" t="s">
        <v>10</v>
      </c>
      <c r="D5" s="1">
        <v>14</v>
      </c>
      <c r="E5" s="1" t="s">
        <v>14</v>
      </c>
      <c r="F5" s="1">
        <v>15</v>
      </c>
      <c r="G5" s="1">
        <v>53</v>
      </c>
      <c r="H5" s="1">
        <v>82</v>
      </c>
      <c r="I5" s="1">
        <v>33</v>
      </c>
      <c r="J5" s="2">
        <f t="shared" si="0"/>
        <v>183</v>
      </c>
      <c r="K5" s="6">
        <f t="shared" si="1"/>
        <v>45.75</v>
      </c>
      <c r="L5" s="8">
        <f t="shared" si="2"/>
        <v>45.75</v>
      </c>
      <c r="M5" s="9" t="str">
        <f t="shared" si="3"/>
        <v>Fail</v>
      </c>
      <c r="N5" s="12" t="str">
        <f t="shared" si="4"/>
        <v>D</v>
      </c>
      <c r="V5">
        <f>MAX(I2:I251)</f>
        <v>100</v>
      </c>
    </row>
    <row r="6" spans="1:23" x14ac:dyDescent="0.35">
      <c r="A6" s="1">
        <v>5</v>
      </c>
      <c r="B6" s="1" t="s">
        <v>17</v>
      </c>
      <c r="C6" s="1" t="s">
        <v>13</v>
      </c>
      <c r="D6" s="1">
        <v>14</v>
      </c>
      <c r="E6" s="1" t="s">
        <v>18</v>
      </c>
      <c r="F6" s="1">
        <v>43</v>
      </c>
      <c r="G6" s="1">
        <v>6</v>
      </c>
      <c r="H6" s="1">
        <v>3</v>
      </c>
      <c r="I6" s="1">
        <v>21</v>
      </c>
      <c r="J6" s="2">
        <f t="shared" si="0"/>
        <v>73</v>
      </c>
      <c r="K6" s="6">
        <f t="shared" si="1"/>
        <v>18.25</v>
      </c>
      <c r="L6" s="8">
        <f t="shared" si="2"/>
        <v>18.25</v>
      </c>
      <c r="M6" s="9" t="str">
        <f t="shared" si="3"/>
        <v>Fail</v>
      </c>
      <c r="N6" s="12" t="str">
        <f t="shared" si="4"/>
        <v>F</v>
      </c>
    </row>
    <row r="7" spans="1:23" x14ac:dyDescent="0.35">
      <c r="A7" s="1">
        <v>6</v>
      </c>
      <c r="B7" s="1" t="s">
        <v>19</v>
      </c>
      <c r="C7" s="1" t="s">
        <v>10</v>
      </c>
      <c r="D7" s="1">
        <v>14</v>
      </c>
      <c r="E7" s="1" t="s">
        <v>11</v>
      </c>
      <c r="F7" s="1">
        <v>98</v>
      </c>
      <c r="G7" s="1">
        <v>51</v>
      </c>
      <c r="H7" s="1">
        <v>85</v>
      </c>
      <c r="I7" s="1">
        <v>76</v>
      </c>
      <c r="J7" s="2">
        <f t="shared" si="0"/>
        <v>310</v>
      </c>
      <c r="K7" s="6">
        <f t="shared" si="1"/>
        <v>77.5</v>
      </c>
      <c r="L7" s="8">
        <f t="shared" si="2"/>
        <v>77.5</v>
      </c>
      <c r="M7" s="9" t="str">
        <f t="shared" si="3"/>
        <v>Pass</v>
      </c>
      <c r="N7" s="12" t="str">
        <f t="shared" si="4"/>
        <v>A</v>
      </c>
      <c r="P7" s="18" t="s">
        <v>264</v>
      </c>
      <c r="Q7" s="18"/>
      <c r="R7" s="18"/>
    </row>
    <row r="8" spans="1:23" x14ac:dyDescent="0.35">
      <c r="A8" s="1">
        <v>7</v>
      </c>
      <c r="B8" s="1" t="s">
        <v>20</v>
      </c>
      <c r="C8" s="1" t="s">
        <v>10</v>
      </c>
      <c r="D8" s="1">
        <v>14</v>
      </c>
      <c r="E8" s="1" t="s">
        <v>14</v>
      </c>
      <c r="F8" s="1">
        <v>38</v>
      </c>
      <c r="G8" s="1">
        <v>74</v>
      </c>
      <c r="H8" s="1">
        <v>54</v>
      </c>
      <c r="I8" s="1">
        <v>60</v>
      </c>
      <c r="J8" s="2">
        <f t="shared" si="0"/>
        <v>226</v>
      </c>
      <c r="K8" s="6">
        <f t="shared" si="1"/>
        <v>56.5</v>
      </c>
      <c r="L8" s="8">
        <f t="shared" si="2"/>
        <v>56.499999999999993</v>
      </c>
      <c r="M8" s="9" t="str">
        <f t="shared" si="3"/>
        <v>Pass</v>
      </c>
      <c r="N8" s="12" t="str">
        <f t="shared" si="4"/>
        <v>C</v>
      </c>
      <c r="P8" s="18"/>
      <c r="Q8" s="18"/>
      <c r="R8" s="18"/>
      <c r="U8" s="16" t="s">
        <v>271</v>
      </c>
      <c r="V8" s="16"/>
      <c r="W8" s="16"/>
    </row>
    <row r="9" spans="1:23" x14ac:dyDescent="0.35">
      <c r="A9" s="1">
        <v>8</v>
      </c>
      <c r="B9" s="1" t="s">
        <v>21</v>
      </c>
      <c r="C9" s="1" t="s">
        <v>13</v>
      </c>
      <c r="D9" s="1">
        <v>14</v>
      </c>
      <c r="E9" s="1" t="s">
        <v>14</v>
      </c>
      <c r="F9" s="1">
        <v>25</v>
      </c>
      <c r="G9" s="1">
        <v>51</v>
      </c>
      <c r="H9" s="1">
        <v>41</v>
      </c>
      <c r="I9" s="1">
        <v>80</v>
      </c>
      <c r="J9" s="2">
        <f t="shared" si="0"/>
        <v>197</v>
      </c>
      <c r="K9" s="6">
        <f t="shared" si="1"/>
        <v>49.25</v>
      </c>
      <c r="L9" s="8">
        <f t="shared" si="2"/>
        <v>49.25</v>
      </c>
      <c r="M9" s="9" t="str">
        <f t="shared" si="3"/>
        <v>Fail</v>
      </c>
      <c r="N9" s="12" t="str">
        <f t="shared" si="4"/>
        <v>D</v>
      </c>
      <c r="U9" s="16"/>
      <c r="V9" s="16"/>
      <c r="W9" s="16"/>
    </row>
    <row r="10" spans="1:23" x14ac:dyDescent="0.35">
      <c r="A10" s="1">
        <v>9</v>
      </c>
      <c r="B10" s="1" t="s">
        <v>22</v>
      </c>
      <c r="C10" s="1" t="s">
        <v>13</v>
      </c>
      <c r="D10" s="1">
        <v>15</v>
      </c>
      <c r="E10" s="1" t="s">
        <v>18</v>
      </c>
      <c r="F10" s="1">
        <v>39</v>
      </c>
      <c r="G10" s="1">
        <v>16</v>
      </c>
      <c r="H10" s="1">
        <v>22</v>
      </c>
      <c r="I10" s="1">
        <v>49</v>
      </c>
      <c r="J10" s="2">
        <f t="shared" si="0"/>
        <v>126</v>
      </c>
      <c r="K10" s="6">
        <f t="shared" si="1"/>
        <v>31.5</v>
      </c>
      <c r="L10" s="8">
        <f t="shared" si="2"/>
        <v>31.5</v>
      </c>
      <c r="M10" s="9" t="str">
        <f t="shared" si="3"/>
        <v>Fail</v>
      </c>
      <c r="N10" s="12" t="str">
        <f t="shared" si="4"/>
        <v>F</v>
      </c>
      <c r="P10" s="19" t="s">
        <v>266</v>
      </c>
      <c r="Q10" s="19"/>
      <c r="R10" s="19"/>
      <c r="V10">
        <f>MIN(F2:F251)</f>
        <v>1</v>
      </c>
    </row>
    <row r="11" spans="1:23" x14ac:dyDescent="0.35">
      <c r="A11" s="1">
        <v>10</v>
      </c>
      <c r="B11" s="1" t="s">
        <v>23</v>
      </c>
      <c r="C11" s="1" t="s">
        <v>13</v>
      </c>
      <c r="D11" s="1">
        <v>15</v>
      </c>
      <c r="E11" s="1" t="s">
        <v>11</v>
      </c>
      <c r="F11" s="1">
        <v>35</v>
      </c>
      <c r="G11" s="1">
        <v>25</v>
      </c>
      <c r="H11" s="1">
        <v>37</v>
      </c>
      <c r="I11" s="1">
        <v>27</v>
      </c>
      <c r="J11" s="2">
        <f t="shared" si="0"/>
        <v>124</v>
      </c>
      <c r="K11" s="6">
        <f t="shared" si="1"/>
        <v>31</v>
      </c>
      <c r="L11" s="8">
        <f t="shared" si="2"/>
        <v>31</v>
      </c>
      <c r="M11" s="9" t="str">
        <f t="shared" si="3"/>
        <v>Fail</v>
      </c>
      <c r="N11" s="12" t="str">
        <f t="shared" si="4"/>
        <v>F</v>
      </c>
      <c r="P11" s="19"/>
      <c r="Q11" s="19"/>
      <c r="R11" s="19"/>
    </row>
    <row r="12" spans="1:23" x14ac:dyDescent="0.35">
      <c r="A12" s="1">
        <v>11</v>
      </c>
      <c r="B12" s="1" t="s">
        <v>24</v>
      </c>
      <c r="C12" s="1" t="s">
        <v>13</v>
      </c>
      <c r="D12" s="1">
        <v>15</v>
      </c>
      <c r="E12" s="1" t="s">
        <v>11</v>
      </c>
      <c r="F12" s="1">
        <v>100</v>
      </c>
      <c r="G12" s="1">
        <v>93</v>
      </c>
      <c r="H12" s="1">
        <v>87</v>
      </c>
      <c r="I12" s="1">
        <v>81</v>
      </c>
      <c r="J12" s="2">
        <f t="shared" si="0"/>
        <v>361</v>
      </c>
      <c r="K12" s="6">
        <f t="shared" si="1"/>
        <v>90.25</v>
      </c>
      <c r="L12" s="8">
        <f t="shared" si="2"/>
        <v>90.25</v>
      </c>
      <c r="M12" s="9" t="str">
        <f t="shared" si="3"/>
        <v>Pass</v>
      </c>
      <c r="N12" s="12" t="str">
        <f t="shared" si="4"/>
        <v>A</v>
      </c>
      <c r="U12" s="22" t="s">
        <v>272</v>
      </c>
      <c r="V12" s="22"/>
      <c r="W12" s="22"/>
    </row>
    <row r="13" spans="1:23" x14ac:dyDescent="0.35">
      <c r="A13" s="1">
        <v>12</v>
      </c>
      <c r="B13" s="1" t="s">
        <v>25</v>
      </c>
      <c r="C13" s="1" t="s">
        <v>13</v>
      </c>
      <c r="D13" s="1">
        <v>13</v>
      </c>
      <c r="E13" s="1" t="s">
        <v>14</v>
      </c>
      <c r="F13" s="1">
        <v>19</v>
      </c>
      <c r="G13" s="1">
        <v>5</v>
      </c>
      <c r="H13" s="1">
        <v>78</v>
      </c>
      <c r="I13" s="1">
        <v>76</v>
      </c>
      <c r="J13" s="2">
        <f t="shared" si="0"/>
        <v>178</v>
      </c>
      <c r="K13" s="6">
        <f t="shared" si="1"/>
        <v>44.5</v>
      </c>
      <c r="L13" s="8">
        <f t="shared" si="2"/>
        <v>44.5</v>
      </c>
      <c r="M13" s="9" t="str">
        <f t="shared" si="3"/>
        <v>Fail</v>
      </c>
      <c r="N13" s="12" t="str">
        <f t="shared" si="4"/>
        <v>D</v>
      </c>
      <c r="P13" s="20" t="s">
        <v>267</v>
      </c>
      <c r="Q13" s="20"/>
      <c r="R13" s="20"/>
      <c r="U13" s="22"/>
      <c r="V13" s="22"/>
      <c r="W13" s="22"/>
    </row>
    <row r="14" spans="1:23" x14ac:dyDescent="0.35">
      <c r="A14" s="1">
        <v>13</v>
      </c>
      <c r="B14" s="1" t="s">
        <v>26</v>
      </c>
      <c r="C14" s="1" t="s">
        <v>13</v>
      </c>
      <c r="D14" s="1">
        <v>15</v>
      </c>
      <c r="E14" s="1" t="s">
        <v>18</v>
      </c>
      <c r="F14" s="1">
        <v>65</v>
      </c>
      <c r="G14" s="1">
        <v>89</v>
      </c>
      <c r="H14" s="1">
        <v>96</v>
      </c>
      <c r="I14" s="1">
        <v>34</v>
      </c>
      <c r="J14" s="2">
        <f t="shared" si="0"/>
        <v>284</v>
      </c>
      <c r="K14" s="6">
        <f t="shared" si="1"/>
        <v>71</v>
      </c>
      <c r="L14" s="8">
        <f t="shared" si="2"/>
        <v>71</v>
      </c>
      <c r="M14" s="9" t="str">
        <f t="shared" si="3"/>
        <v>Fail</v>
      </c>
      <c r="N14" s="12" t="str">
        <f t="shared" si="4"/>
        <v>B</v>
      </c>
      <c r="P14" s="20"/>
      <c r="Q14" s="20"/>
      <c r="R14" s="20"/>
      <c r="V14">
        <f>COUNTIF(M2:M251,"Pass")</f>
        <v>54</v>
      </c>
    </row>
    <row r="15" spans="1:23" x14ac:dyDescent="0.35">
      <c r="A15" s="1">
        <v>14</v>
      </c>
      <c r="B15" s="1" t="s">
        <v>27</v>
      </c>
      <c r="C15" s="1" t="s">
        <v>10</v>
      </c>
      <c r="D15" s="1">
        <v>13</v>
      </c>
      <c r="E15" s="1" t="s">
        <v>14</v>
      </c>
      <c r="F15" s="1">
        <v>93</v>
      </c>
      <c r="G15" s="1">
        <v>38</v>
      </c>
      <c r="H15" s="1">
        <v>39</v>
      </c>
      <c r="I15" s="1">
        <v>93</v>
      </c>
      <c r="J15" s="2">
        <f t="shared" si="0"/>
        <v>263</v>
      </c>
      <c r="K15" s="6">
        <f t="shared" si="1"/>
        <v>65.75</v>
      </c>
      <c r="L15" s="8">
        <f t="shared" si="2"/>
        <v>65.75</v>
      </c>
      <c r="M15" s="9" t="str">
        <f t="shared" si="3"/>
        <v>Pass</v>
      </c>
      <c r="N15" s="12" t="str">
        <f t="shared" si="4"/>
        <v>B</v>
      </c>
    </row>
    <row r="16" spans="1:23" x14ac:dyDescent="0.35">
      <c r="A16" s="1">
        <v>15</v>
      </c>
      <c r="B16" s="1" t="s">
        <v>28</v>
      </c>
      <c r="C16" s="1" t="s">
        <v>10</v>
      </c>
      <c r="D16" s="1">
        <v>13</v>
      </c>
      <c r="E16" s="1" t="s">
        <v>14</v>
      </c>
      <c r="F16" s="1">
        <v>98</v>
      </c>
      <c r="G16" s="1">
        <v>18</v>
      </c>
      <c r="H16" s="1">
        <v>84</v>
      </c>
      <c r="I16" s="1">
        <v>74</v>
      </c>
      <c r="J16" s="2">
        <f t="shared" si="0"/>
        <v>274</v>
      </c>
      <c r="K16" s="6">
        <f t="shared" si="1"/>
        <v>68.5</v>
      </c>
      <c r="L16" s="8">
        <f t="shared" si="2"/>
        <v>68.5</v>
      </c>
      <c r="M16" s="9" t="str">
        <f t="shared" si="3"/>
        <v>Fail</v>
      </c>
      <c r="N16" s="12" t="str">
        <f t="shared" si="4"/>
        <v>B</v>
      </c>
      <c r="P16" s="21" t="s">
        <v>269</v>
      </c>
      <c r="Q16" s="21"/>
      <c r="R16" s="21"/>
      <c r="S16" s="21"/>
      <c r="U16" s="23" t="s">
        <v>274</v>
      </c>
      <c r="V16" s="23"/>
      <c r="W16" s="23"/>
    </row>
    <row r="17" spans="1:24" x14ac:dyDescent="0.35">
      <c r="A17" s="1">
        <v>16</v>
      </c>
      <c r="B17" s="1" t="s">
        <v>29</v>
      </c>
      <c r="C17" s="1" t="s">
        <v>13</v>
      </c>
      <c r="D17" s="1">
        <v>15</v>
      </c>
      <c r="E17" s="1" t="s">
        <v>18</v>
      </c>
      <c r="F17" s="1">
        <v>53</v>
      </c>
      <c r="G17" s="1">
        <v>30</v>
      </c>
      <c r="H17" s="1">
        <v>90</v>
      </c>
      <c r="I17" s="1">
        <v>64</v>
      </c>
      <c r="J17" s="2">
        <f t="shared" si="0"/>
        <v>237</v>
      </c>
      <c r="K17" s="6">
        <f t="shared" si="1"/>
        <v>59.25</v>
      </c>
      <c r="L17" s="8">
        <f t="shared" si="2"/>
        <v>59.25</v>
      </c>
      <c r="M17" s="9" t="str">
        <f t="shared" si="3"/>
        <v>Fail</v>
      </c>
      <c r="N17" s="12" t="str">
        <f t="shared" si="4"/>
        <v>C</v>
      </c>
      <c r="P17" s="21"/>
      <c r="Q17" s="21"/>
      <c r="R17" s="21"/>
      <c r="S17" s="21"/>
      <c r="U17" s="23"/>
      <c r="V17" s="23"/>
      <c r="W17" s="23"/>
    </row>
    <row r="18" spans="1:24" x14ac:dyDescent="0.35">
      <c r="A18" s="1">
        <v>17</v>
      </c>
      <c r="B18" s="1" t="s">
        <v>30</v>
      </c>
      <c r="C18" s="1" t="s">
        <v>13</v>
      </c>
      <c r="D18" s="1">
        <v>13</v>
      </c>
      <c r="E18" s="1" t="s">
        <v>18</v>
      </c>
      <c r="F18" s="1">
        <v>91</v>
      </c>
      <c r="G18" s="1">
        <v>45</v>
      </c>
      <c r="H18" s="1">
        <v>44</v>
      </c>
      <c r="I18" s="1">
        <v>45</v>
      </c>
      <c r="J18" s="2">
        <f t="shared" si="0"/>
        <v>225</v>
      </c>
      <c r="K18" s="6">
        <f t="shared" si="1"/>
        <v>56.25</v>
      </c>
      <c r="L18" s="8">
        <f t="shared" si="2"/>
        <v>56.25</v>
      </c>
      <c r="M18" s="9" t="str">
        <f t="shared" si="3"/>
        <v>Pass</v>
      </c>
      <c r="N18" s="12" t="str">
        <f t="shared" si="4"/>
        <v>C</v>
      </c>
      <c r="P18" s="21"/>
      <c r="Q18" s="21"/>
      <c r="R18" s="21"/>
      <c r="S18" s="21"/>
      <c r="V18">
        <f>COUNTIF(M2:M251,"Fail")</f>
        <v>196</v>
      </c>
    </row>
    <row r="19" spans="1:24" x14ac:dyDescent="0.35">
      <c r="A19" s="1">
        <v>18</v>
      </c>
      <c r="B19" s="1" t="s">
        <v>31</v>
      </c>
      <c r="C19" s="1" t="s">
        <v>10</v>
      </c>
      <c r="D19" s="1">
        <v>13</v>
      </c>
      <c r="E19" s="1" t="s">
        <v>14</v>
      </c>
      <c r="F19" s="1">
        <v>5</v>
      </c>
      <c r="G19" s="1">
        <v>89</v>
      </c>
      <c r="H19" s="1">
        <v>25</v>
      </c>
      <c r="I19" s="1">
        <v>23</v>
      </c>
      <c r="J19" s="2">
        <f t="shared" si="0"/>
        <v>142</v>
      </c>
      <c r="K19" s="6">
        <f t="shared" si="1"/>
        <v>35.5</v>
      </c>
      <c r="L19" s="8">
        <f t="shared" si="2"/>
        <v>35.5</v>
      </c>
      <c r="M19" s="9" t="str">
        <f t="shared" si="3"/>
        <v>Fail</v>
      </c>
      <c r="N19" s="12" t="str">
        <f t="shared" si="4"/>
        <v>D</v>
      </c>
    </row>
    <row r="20" spans="1:24" x14ac:dyDescent="0.35">
      <c r="A20" s="1">
        <v>19</v>
      </c>
      <c r="B20" s="1" t="s">
        <v>32</v>
      </c>
      <c r="C20" s="1" t="s">
        <v>10</v>
      </c>
      <c r="D20" s="1">
        <v>13</v>
      </c>
      <c r="E20" s="1" t="s">
        <v>14</v>
      </c>
      <c r="F20" s="1">
        <v>62</v>
      </c>
      <c r="G20" s="1">
        <v>77</v>
      </c>
      <c r="H20" s="1">
        <v>75</v>
      </c>
      <c r="I20" s="1">
        <v>72</v>
      </c>
      <c r="J20" s="2">
        <f t="shared" si="0"/>
        <v>286</v>
      </c>
      <c r="K20" s="6">
        <f t="shared" si="1"/>
        <v>71.5</v>
      </c>
      <c r="L20" s="8">
        <f t="shared" si="2"/>
        <v>71.5</v>
      </c>
      <c r="M20" s="9" t="str">
        <f t="shared" si="3"/>
        <v>Pass</v>
      </c>
      <c r="N20" s="12" t="str">
        <f t="shared" si="4"/>
        <v>B</v>
      </c>
      <c r="U20" s="24" t="s">
        <v>276</v>
      </c>
      <c r="V20" s="24"/>
      <c r="W20" s="24"/>
      <c r="X20" s="24"/>
    </row>
    <row r="21" spans="1:24" x14ac:dyDescent="0.35">
      <c r="A21" s="1">
        <v>20</v>
      </c>
      <c r="B21" s="1" t="s">
        <v>33</v>
      </c>
      <c r="C21" s="1" t="s">
        <v>13</v>
      </c>
      <c r="D21" s="1">
        <v>13</v>
      </c>
      <c r="E21" s="1" t="s">
        <v>14</v>
      </c>
      <c r="F21" s="1">
        <v>41</v>
      </c>
      <c r="G21" s="1">
        <v>6</v>
      </c>
      <c r="H21" s="1">
        <v>17</v>
      </c>
      <c r="I21" s="1">
        <v>3</v>
      </c>
      <c r="J21" s="2">
        <f t="shared" si="0"/>
        <v>67</v>
      </c>
      <c r="K21" s="6">
        <f t="shared" si="1"/>
        <v>16.75</v>
      </c>
      <c r="L21" s="8">
        <f t="shared" si="2"/>
        <v>16.75</v>
      </c>
      <c r="M21" s="9" t="str">
        <f t="shared" si="3"/>
        <v>Fail</v>
      </c>
      <c r="N21" s="12" t="str">
        <f t="shared" si="4"/>
        <v>F</v>
      </c>
      <c r="U21" s="24"/>
      <c r="V21" s="24"/>
      <c r="W21" s="24"/>
      <c r="X21" s="24"/>
    </row>
    <row r="22" spans="1:24" x14ac:dyDescent="0.35">
      <c r="A22" s="1">
        <v>21</v>
      </c>
      <c r="B22" s="1" t="s">
        <v>34</v>
      </c>
      <c r="C22" s="1" t="s">
        <v>13</v>
      </c>
      <c r="D22" s="1">
        <v>13</v>
      </c>
      <c r="E22" s="1" t="s">
        <v>18</v>
      </c>
      <c r="F22" s="1">
        <v>76</v>
      </c>
      <c r="G22" s="1">
        <v>96</v>
      </c>
      <c r="H22" s="1">
        <v>67</v>
      </c>
      <c r="I22" s="1">
        <v>17</v>
      </c>
      <c r="J22" s="2">
        <f t="shared" si="0"/>
        <v>256</v>
      </c>
      <c r="K22" s="6">
        <f t="shared" si="1"/>
        <v>64</v>
      </c>
      <c r="L22" s="8">
        <f t="shared" si="2"/>
        <v>64</v>
      </c>
      <c r="M22" s="9" t="str">
        <f t="shared" si="3"/>
        <v>Fail</v>
      </c>
      <c r="N22" s="12" t="str">
        <f t="shared" si="4"/>
        <v>B</v>
      </c>
    </row>
    <row r="23" spans="1:24" x14ac:dyDescent="0.35">
      <c r="A23" s="1">
        <v>22</v>
      </c>
      <c r="B23" s="1" t="s">
        <v>35</v>
      </c>
      <c r="C23" s="1" t="s">
        <v>13</v>
      </c>
      <c r="D23" s="1">
        <v>14</v>
      </c>
      <c r="E23" s="1" t="s">
        <v>14</v>
      </c>
      <c r="F23" s="1">
        <v>3</v>
      </c>
      <c r="G23" s="1">
        <v>55</v>
      </c>
      <c r="H23" s="1">
        <v>14</v>
      </c>
      <c r="I23" s="1">
        <v>90</v>
      </c>
      <c r="J23" s="2">
        <f t="shared" si="0"/>
        <v>162</v>
      </c>
      <c r="K23" s="6">
        <f t="shared" si="1"/>
        <v>40.5</v>
      </c>
      <c r="L23" s="8">
        <f t="shared" si="2"/>
        <v>40.5</v>
      </c>
      <c r="M23" s="9" t="str">
        <f t="shared" si="3"/>
        <v>Fail</v>
      </c>
      <c r="N23" s="12" t="str">
        <f t="shared" si="4"/>
        <v>D</v>
      </c>
    </row>
    <row r="24" spans="1:24" x14ac:dyDescent="0.35">
      <c r="A24" s="1">
        <v>23</v>
      </c>
      <c r="B24" s="1" t="s">
        <v>36</v>
      </c>
      <c r="C24" s="1" t="s">
        <v>10</v>
      </c>
      <c r="D24" s="1">
        <v>13</v>
      </c>
      <c r="E24" s="1" t="s">
        <v>11</v>
      </c>
      <c r="F24" s="1">
        <v>5</v>
      </c>
      <c r="G24" s="1">
        <v>83</v>
      </c>
      <c r="H24" s="1">
        <v>19</v>
      </c>
      <c r="I24" s="1">
        <v>39</v>
      </c>
      <c r="J24" s="2">
        <f t="shared" si="0"/>
        <v>146</v>
      </c>
      <c r="K24" s="6">
        <f t="shared" si="1"/>
        <v>36.5</v>
      </c>
      <c r="L24" s="8">
        <f t="shared" si="2"/>
        <v>36.5</v>
      </c>
      <c r="M24" s="9" t="str">
        <f t="shared" si="3"/>
        <v>Fail</v>
      </c>
      <c r="N24" s="12" t="str">
        <f t="shared" si="4"/>
        <v>D</v>
      </c>
    </row>
    <row r="25" spans="1:24" x14ac:dyDescent="0.35">
      <c r="A25" s="1">
        <v>24</v>
      </c>
      <c r="B25" s="1" t="s">
        <v>37</v>
      </c>
      <c r="C25" s="1" t="s">
        <v>10</v>
      </c>
      <c r="D25" s="1">
        <v>14</v>
      </c>
      <c r="E25" s="1" t="s">
        <v>11</v>
      </c>
      <c r="F25" s="1">
        <v>48</v>
      </c>
      <c r="G25" s="1">
        <v>83</v>
      </c>
      <c r="H25" s="1">
        <v>79</v>
      </c>
      <c r="I25" s="1">
        <v>95</v>
      </c>
      <c r="J25" s="2">
        <f t="shared" si="0"/>
        <v>305</v>
      </c>
      <c r="K25" s="6">
        <f t="shared" si="1"/>
        <v>76.25</v>
      </c>
      <c r="L25" s="8">
        <f t="shared" si="2"/>
        <v>76.25</v>
      </c>
      <c r="M25" s="9" t="str">
        <f t="shared" si="3"/>
        <v>Pass</v>
      </c>
      <c r="N25" s="12" t="str">
        <f t="shared" si="4"/>
        <v>A</v>
      </c>
    </row>
    <row r="26" spans="1:24" x14ac:dyDescent="0.35">
      <c r="A26" s="1">
        <v>25</v>
      </c>
      <c r="B26" s="1" t="s">
        <v>38</v>
      </c>
      <c r="C26" s="1" t="s">
        <v>13</v>
      </c>
      <c r="D26" s="1">
        <v>14</v>
      </c>
      <c r="E26" s="1" t="s">
        <v>18</v>
      </c>
      <c r="F26" s="1">
        <v>17</v>
      </c>
      <c r="G26" s="1">
        <v>87</v>
      </c>
      <c r="H26" s="1">
        <v>16</v>
      </c>
      <c r="I26" s="1">
        <v>50</v>
      </c>
      <c r="J26" s="2">
        <f t="shared" si="0"/>
        <v>170</v>
      </c>
      <c r="K26" s="6">
        <f t="shared" si="1"/>
        <v>42.5</v>
      </c>
      <c r="L26" s="8">
        <f t="shared" si="2"/>
        <v>42.5</v>
      </c>
      <c r="M26" s="9" t="str">
        <f t="shared" si="3"/>
        <v>Fail</v>
      </c>
      <c r="N26" s="12" t="str">
        <f t="shared" si="4"/>
        <v>D</v>
      </c>
    </row>
    <row r="27" spans="1:24" x14ac:dyDescent="0.35">
      <c r="A27" s="1">
        <v>26</v>
      </c>
      <c r="B27" s="1" t="s">
        <v>39</v>
      </c>
      <c r="C27" s="1" t="s">
        <v>10</v>
      </c>
      <c r="D27" s="1">
        <v>15</v>
      </c>
      <c r="E27" s="1" t="s">
        <v>18</v>
      </c>
      <c r="F27" s="1">
        <v>16</v>
      </c>
      <c r="G27" s="1">
        <v>59</v>
      </c>
      <c r="H27" s="1">
        <v>18</v>
      </c>
      <c r="I27" s="1">
        <v>64</v>
      </c>
      <c r="J27" s="2">
        <f t="shared" si="0"/>
        <v>157</v>
      </c>
      <c r="K27" s="6">
        <f t="shared" si="1"/>
        <v>39.25</v>
      </c>
      <c r="L27" s="8">
        <f t="shared" si="2"/>
        <v>39.25</v>
      </c>
      <c r="M27" s="9" t="str">
        <f t="shared" si="3"/>
        <v>Fail</v>
      </c>
      <c r="N27" s="12" t="str">
        <f t="shared" si="4"/>
        <v>D</v>
      </c>
    </row>
    <row r="28" spans="1:24" x14ac:dyDescent="0.35">
      <c r="A28" s="1">
        <v>27</v>
      </c>
      <c r="B28" s="1" t="s">
        <v>40</v>
      </c>
      <c r="C28" s="1" t="s">
        <v>10</v>
      </c>
      <c r="D28" s="1">
        <v>14</v>
      </c>
      <c r="E28" s="1" t="s">
        <v>18</v>
      </c>
      <c r="F28" s="1">
        <v>93</v>
      </c>
      <c r="G28" s="1">
        <v>93</v>
      </c>
      <c r="H28" s="1">
        <v>83</v>
      </c>
      <c r="I28" s="1">
        <v>40</v>
      </c>
      <c r="J28" s="2">
        <f t="shared" si="0"/>
        <v>309</v>
      </c>
      <c r="K28" s="6">
        <f t="shared" si="1"/>
        <v>77.25</v>
      </c>
      <c r="L28" s="8">
        <f t="shared" si="2"/>
        <v>77.25</v>
      </c>
      <c r="M28" s="9" t="str">
        <f t="shared" si="3"/>
        <v>Pass</v>
      </c>
      <c r="N28" s="12" t="str">
        <f t="shared" si="4"/>
        <v>A</v>
      </c>
    </row>
    <row r="29" spans="1:24" x14ac:dyDescent="0.35">
      <c r="A29" s="1">
        <v>28</v>
      </c>
      <c r="B29" s="1" t="s">
        <v>41</v>
      </c>
      <c r="C29" s="1" t="s">
        <v>13</v>
      </c>
      <c r="D29" s="1">
        <v>14</v>
      </c>
      <c r="E29" s="1" t="s">
        <v>18</v>
      </c>
      <c r="F29" s="1">
        <v>60</v>
      </c>
      <c r="G29" s="1">
        <v>36</v>
      </c>
      <c r="H29" s="1">
        <v>86</v>
      </c>
      <c r="I29" s="1">
        <v>87</v>
      </c>
      <c r="J29" s="2">
        <f t="shared" si="0"/>
        <v>269</v>
      </c>
      <c r="K29" s="6">
        <f t="shared" si="1"/>
        <v>67.25</v>
      </c>
      <c r="L29" s="8">
        <f t="shared" si="2"/>
        <v>67.25</v>
      </c>
      <c r="M29" s="9" t="str">
        <f t="shared" si="3"/>
        <v>Pass</v>
      </c>
      <c r="N29" s="12" t="str">
        <f t="shared" si="4"/>
        <v>B</v>
      </c>
    </row>
    <row r="30" spans="1:24" x14ac:dyDescent="0.35">
      <c r="A30" s="1">
        <v>29</v>
      </c>
      <c r="B30" s="1" t="s">
        <v>42</v>
      </c>
      <c r="C30" s="1" t="s">
        <v>13</v>
      </c>
      <c r="D30" s="1">
        <v>13</v>
      </c>
      <c r="E30" s="1" t="s">
        <v>11</v>
      </c>
      <c r="F30" s="1">
        <v>19</v>
      </c>
      <c r="G30" s="1">
        <v>8</v>
      </c>
      <c r="H30" s="1">
        <v>76</v>
      </c>
      <c r="I30" s="1">
        <v>75</v>
      </c>
      <c r="J30" s="2">
        <f t="shared" si="0"/>
        <v>178</v>
      </c>
      <c r="K30" s="6">
        <f t="shared" si="1"/>
        <v>44.5</v>
      </c>
      <c r="L30" s="8">
        <f t="shared" si="2"/>
        <v>44.5</v>
      </c>
      <c r="M30" s="9" t="str">
        <f t="shared" si="3"/>
        <v>Fail</v>
      </c>
      <c r="N30" s="12" t="str">
        <f t="shared" si="4"/>
        <v>D</v>
      </c>
    </row>
    <row r="31" spans="1:24" x14ac:dyDescent="0.35">
      <c r="A31" s="1">
        <v>30</v>
      </c>
      <c r="B31" s="1" t="s">
        <v>43</v>
      </c>
      <c r="C31" s="1" t="s">
        <v>13</v>
      </c>
      <c r="D31" s="1">
        <v>13</v>
      </c>
      <c r="E31" s="1" t="s">
        <v>11</v>
      </c>
      <c r="F31" s="1">
        <v>95</v>
      </c>
      <c r="G31" s="1">
        <v>65</v>
      </c>
      <c r="H31" s="1">
        <v>25</v>
      </c>
      <c r="I31" s="1">
        <v>91</v>
      </c>
      <c r="J31" s="2">
        <f t="shared" si="0"/>
        <v>276</v>
      </c>
      <c r="K31" s="6">
        <f t="shared" si="1"/>
        <v>69</v>
      </c>
      <c r="L31" s="8">
        <f t="shared" si="2"/>
        <v>69</v>
      </c>
      <c r="M31" s="9" t="str">
        <f t="shared" si="3"/>
        <v>Fail</v>
      </c>
      <c r="N31" s="12" t="str">
        <f t="shared" si="4"/>
        <v>B</v>
      </c>
    </row>
    <row r="32" spans="1:24" x14ac:dyDescent="0.35">
      <c r="A32" s="1">
        <v>31</v>
      </c>
      <c r="B32" s="1" t="s">
        <v>44</v>
      </c>
      <c r="C32" s="1" t="s">
        <v>10</v>
      </c>
      <c r="D32" s="1">
        <v>15</v>
      </c>
      <c r="E32" s="1" t="s">
        <v>14</v>
      </c>
      <c r="F32" s="1">
        <v>14</v>
      </c>
      <c r="G32" s="1">
        <v>83</v>
      </c>
      <c r="H32" s="1">
        <v>9</v>
      </c>
      <c r="I32" s="1">
        <v>90</v>
      </c>
      <c r="J32" s="2">
        <f t="shared" si="0"/>
        <v>196</v>
      </c>
      <c r="K32" s="6">
        <f t="shared" si="1"/>
        <v>49</v>
      </c>
      <c r="L32" s="8">
        <f t="shared" si="2"/>
        <v>49</v>
      </c>
      <c r="M32" s="9" t="str">
        <f t="shared" si="3"/>
        <v>Fail</v>
      </c>
      <c r="N32" s="12" t="str">
        <f t="shared" si="4"/>
        <v>D</v>
      </c>
    </row>
    <row r="33" spans="1:14" x14ac:dyDescent="0.35">
      <c r="A33" s="1">
        <v>32</v>
      </c>
      <c r="B33" s="1" t="s">
        <v>45</v>
      </c>
      <c r="C33" s="1" t="s">
        <v>10</v>
      </c>
      <c r="D33" s="1">
        <v>15</v>
      </c>
      <c r="E33" s="1" t="s">
        <v>14</v>
      </c>
      <c r="F33" s="1">
        <v>17</v>
      </c>
      <c r="G33" s="1">
        <v>36</v>
      </c>
      <c r="H33" s="1">
        <v>45</v>
      </c>
      <c r="I33" s="1">
        <v>27</v>
      </c>
      <c r="J33" s="2">
        <f t="shared" si="0"/>
        <v>125</v>
      </c>
      <c r="K33" s="6">
        <f t="shared" si="1"/>
        <v>31.25</v>
      </c>
      <c r="L33" s="8">
        <f t="shared" si="2"/>
        <v>31.25</v>
      </c>
      <c r="M33" s="9" t="str">
        <f t="shared" si="3"/>
        <v>Fail</v>
      </c>
      <c r="N33" s="12" t="str">
        <f t="shared" si="4"/>
        <v>F</v>
      </c>
    </row>
    <row r="34" spans="1:14" x14ac:dyDescent="0.35">
      <c r="A34" s="1">
        <v>33</v>
      </c>
      <c r="B34" s="1" t="s">
        <v>46</v>
      </c>
      <c r="C34" s="1" t="s">
        <v>10</v>
      </c>
      <c r="D34" s="1">
        <v>14</v>
      </c>
      <c r="E34" s="1" t="s">
        <v>11</v>
      </c>
      <c r="F34" s="1">
        <v>17</v>
      </c>
      <c r="G34" s="1">
        <v>74</v>
      </c>
      <c r="H34" s="1">
        <v>11</v>
      </c>
      <c r="I34" s="1">
        <v>49</v>
      </c>
      <c r="J34" s="2">
        <f t="shared" si="0"/>
        <v>151</v>
      </c>
      <c r="K34" s="6">
        <f t="shared" si="1"/>
        <v>37.75</v>
      </c>
      <c r="L34" s="8">
        <f t="shared" si="2"/>
        <v>37.75</v>
      </c>
      <c r="M34" s="9" t="str">
        <f t="shared" si="3"/>
        <v>Fail</v>
      </c>
      <c r="N34" s="12" t="str">
        <f t="shared" si="4"/>
        <v>D</v>
      </c>
    </row>
    <row r="35" spans="1:14" x14ac:dyDescent="0.35">
      <c r="A35" s="1">
        <v>34</v>
      </c>
      <c r="B35" s="1" t="s">
        <v>47</v>
      </c>
      <c r="C35" s="1" t="s">
        <v>10</v>
      </c>
      <c r="D35" s="1">
        <v>15</v>
      </c>
      <c r="E35" s="1" t="s">
        <v>14</v>
      </c>
      <c r="F35" s="1">
        <v>54</v>
      </c>
      <c r="G35" s="1">
        <v>18</v>
      </c>
      <c r="H35" s="1">
        <v>46</v>
      </c>
      <c r="I35" s="1">
        <v>17</v>
      </c>
      <c r="J35" s="2">
        <f t="shared" si="0"/>
        <v>135</v>
      </c>
      <c r="K35" s="6">
        <f t="shared" si="1"/>
        <v>33.75</v>
      </c>
      <c r="L35" s="8">
        <f t="shared" si="2"/>
        <v>33.75</v>
      </c>
      <c r="M35" s="9" t="str">
        <f t="shared" si="3"/>
        <v>Fail</v>
      </c>
      <c r="N35" s="12" t="str">
        <f t="shared" si="4"/>
        <v>F</v>
      </c>
    </row>
    <row r="36" spans="1:14" x14ac:dyDescent="0.35">
      <c r="A36" s="1">
        <v>35</v>
      </c>
      <c r="B36" s="1" t="s">
        <v>48</v>
      </c>
      <c r="C36" s="1" t="s">
        <v>10</v>
      </c>
      <c r="D36" s="1">
        <v>13</v>
      </c>
      <c r="E36" s="1" t="s">
        <v>14</v>
      </c>
      <c r="F36" s="1">
        <v>5</v>
      </c>
      <c r="G36" s="1">
        <v>75</v>
      </c>
      <c r="H36" s="1">
        <v>13</v>
      </c>
      <c r="I36" s="1">
        <v>61</v>
      </c>
      <c r="J36" s="2">
        <f t="shared" si="0"/>
        <v>154</v>
      </c>
      <c r="K36" s="6">
        <f t="shared" si="1"/>
        <v>38.5</v>
      </c>
      <c r="L36" s="8">
        <f t="shared" si="2"/>
        <v>38.5</v>
      </c>
      <c r="M36" s="9" t="str">
        <f t="shared" si="3"/>
        <v>Fail</v>
      </c>
      <c r="N36" s="12" t="str">
        <f t="shared" si="4"/>
        <v>D</v>
      </c>
    </row>
    <row r="37" spans="1:14" x14ac:dyDescent="0.35">
      <c r="A37" s="1">
        <v>36</v>
      </c>
      <c r="B37" s="1" t="s">
        <v>49</v>
      </c>
      <c r="C37" s="1" t="s">
        <v>10</v>
      </c>
      <c r="D37" s="1">
        <v>15</v>
      </c>
      <c r="E37" s="1" t="s">
        <v>11</v>
      </c>
      <c r="F37" s="1">
        <v>93</v>
      </c>
      <c r="G37" s="1">
        <v>53</v>
      </c>
      <c r="H37" s="1">
        <v>10</v>
      </c>
      <c r="I37" s="1">
        <v>29</v>
      </c>
      <c r="J37" s="2">
        <f t="shared" si="0"/>
        <v>185</v>
      </c>
      <c r="K37" s="6">
        <f t="shared" si="1"/>
        <v>46.25</v>
      </c>
      <c r="L37" s="8">
        <f t="shared" si="2"/>
        <v>46.25</v>
      </c>
      <c r="M37" s="9" t="str">
        <f t="shared" si="3"/>
        <v>Fail</v>
      </c>
      <c r="N37" s="12" t="str">
        <f t="shared" si="4"/>
        <v>D</v>
      </c>
    </row>
    <row r="38" spans="1:14" x14ac:dyDescent="0.35">
      <c r="A38" s="1">
        <v>37</v>
      </c>
      <c r="B38" s="1" t="s">
        <v>50</v>
      </c>
      <c r="C38" s="1" t="s">
        <v>10</v>
      </c>
      <c r="D38" s="1">
        <v>14</v>
      </c>
      <c r="E38" s="1" t="s">
        <v>18</v>
      </c>
      <c r="F38" s="1">
        <v>54</v>
      </c>
      <c r="G38" s="1">
        <v>23</v>
      </c>
      <c r="H38" s="1">
        <v>19</v>
      </c>
      <c r="I38" s="1">
        <v>94</v>
      </c>
      <c r="J38" s="2">
        <f t="shared" si="0"/>
        <v>190</v>
      </c>
      <c r="K38" s="6">
        <f t="shared" si="1"/>
        <v>47.5</v>
      </c>
      <c r="L38" s="8">
        <f t="shared" si="2"/>
        <v>47.5</v>
      </c>
      <c r="M38" s="9" t="str">
        <f t="shared" si="3"/>
        <v>Fail</v>
      </c>
      <c r="N38" s="12" t="str">
        <f t="shared" si="4"/>
        <v>D</v>
      </c>
    </row>
    <row r="39" spans="1:14" x14ac:dyDescent="0.35">
      <c r="A39" s="1">
        <v>38</v>
      </c>
      <c r="B39" s="1" t="s">
        <v>51</v>
      </c>
      <c r="C39" s="1" t="s">
        <v>13</v>
      </c>
      <c r="D39" s="1">
        <v>14</v>
      </c>
      <c r="E39" s="1" t="s">
        <v>11</v>
      </c>
      <c r="F39" s="1">
        <v>90</v>
      </c>
      <c r="G39" s="1">
        <v>62</v>
      </c>
      <c r="H39" s="1">
        <v>45</v>
      </c>
      <c r="I39" s="1">
        <v>21</v>
      </c>
      <c r="J39" s="2">
        <f t="shared" si="0"/>
        <v>218</v>
      </c>
      <c r="K39" s="6">
        <f t="shared" si="1"/>
        <v>54.5</v>
      </c>
      <c r="L39" s="8">
        <f t="shared" si="2"/>
        <v>54.500000000000007</v>
      </c>
      <c r="M39" s="9" t="str">
        <f t="shared" si="3"/>
        <v>Fail</v>
      </c>
      <c r="N39" s="12" t="str">
        <f t="shared" si="4"/>
        <v>C</v>
      </c>
    </row>
    <row r="40" spans="1:14" x14ac:dyDescent="0.35">
      <c r="A40" s="1">
        <v>39</v>
      </c>
      <c r="B40" s="1" t="s">
        <v>52</v>
      </c>
      <c r="C40" s="1" t="s">
        <v>10</v>
      </c>
      <c r="D40" s="1">
        <v>13</v>
      </c>
      <c r="E40" s="1" t="s">
        <v>18</v>
      </c>
      <c r="F40" s="1">
        <v>71</v>
      </c>
      <c r="G40" s="1">
        <v>90</v>
      </c>
      <c r="H40" s="1">
        <v>78</v>
      </c>
      <c r="I40" s="1">
        <v>35</v>
      </c>
      <c r="J40" s="2">
        <f t="shared" si="0"/>
        <v>274</v>
      </c>
      <c r="K40" s="6">
        <f t="shared" si="1"/>
        <v>68.5</v>
      </c>
      <c r="L40" s="8">
        <f t="shared" si="2"/>
        <v>68.5</v>
      </c>
      <c r="M40" s="9" t="str">
        <f t="shared" si="3"/>
        <v>Pass</v>
      </c>
      <c r="N40" s="12" t="str">
        <f t="shared" si="4"/>
        <v>B</v>
      </c>
    </row>
    <row r="41" spans="1:14" x14ac:dyDescent="0.35">
      <c r="A41" s="1">
        <v>40</v>
      </c>
      <c r="B41" s="1" t="s">
        <v>53</v>
      </c>
      <c r="C41" s="1" t="s">
        <v>13</v>
      </c>
      <c r="D41" s="1">
        <v>13</v>
      </c>
      <c r="E41" s="1" t="s">
        <v>14</v>
      </c>
      <c r="F41" s="1">
        <v>100</v>
      </c>
      <c r="G41" s="1">
        <v>52</v>
      </c>
      <c r="H41" s="1">
        <v>89</v>
      </c>
      <c r="I41" s="1">
        <v>76</v>
      </c>
      <c r="J41" s="2">
        <f t="shared" si="0"/>
        <v>317</v>
      </c>
      <c r="K41" s="6">
        <f t="shared" si="1"/>
        <v>79.25</v>
      </c>
      <c r="L41" s="8">
        <f t="shared" si="2"/>
        <v>79.25</v>
      </c>
      <c r="M41" s="9" t="str">
        <f t="shared" si="3"/>
        <v>Pass</v>
      </c>
      <c r="N41" s="12" t="str">
        <f t="shared" si="4"/>
        <v>A</v>
      </c>
    </row>
    <row r="42" spans="1:14" x14ac:dyDescent="0.35">
      <c r="A42" s="1">
        <v>41</v>
      </c>
      <c r="B42" s="1" t="s">
        <v>54</v>
      </c>
      <c r="C42" s="1" t="s">
        <v>10</v>
      </c>
      <c r="D42" s="1">
        <v>15</v>
      </c>
      <c r="E42" s="1" t="s">
        <v>11</v>
      </c>
      <c r="F42" s="1">
        <v>10</v>
      </c>
      <c r="G42" s="1">
        <v>78</v>
      </c>
      <c r="H42" s="1">
        <v>56</v>
      </c>
      <c r="I42" s="1">
        <v>41</v>
      </c>
      <c r="J42" s="2">
        <f t="shared" si="0"/>
        <v>185</v>
      </c>
      <c r="K42" s="6">
        <f t="shared" si="1"/>
        <v>46.25</v>
      </c>
      <c r="L42" s="8">
        <f t="shared" si="2"/>
        <v>46.25</v>
      </c>
      <c r="M42" s="9" t="str">
        <f t="shared" si="3"/>
        <v>Fail</v>
      </c>
      <c r="N42" s="12" t="str">
        <f t="shared" si="4"/>
        <v>D</v>
      </c>
    </row>
    <row r="43" spans="1:14" x14ac:dyDescent="0.35">
      <c r="A43" s="1">
        <v>42</v>
      </c>
      <c r="B43" s="1" t="s">
        <v>55</v>
      </c>
      <c r="C43" s="1" t="s">
        <v>10</v>
      </c>
      <c r="D43" s="1">
        <v>13</v>
      </c>
      <c r="E43" s="1" t="s">
        <v>14</v>
      </c>
      <c r="F43" s="1">
        <v>21</v>
      </c>
      <c r="G43" s="1">
        <v>89</v>
      </c>
      <c r="H43" s="1">
        <v>72</v>
      </c>
      <c r="I43" s="1">
        <v>84</v>
      </c>
      <c r="J43" s="2">
        <f t="shared" si="0"/>
        <v>266</v>
      </c>
      <c r="K43" s="6">
        <f t="shared" si="1"/>
        <v>66.5</v>
      </c>
      <c r="L43" s="8">
        <f t="shared" si="2"/>
        <v>66.5</v>
      </c>
      <c r="M43" s="9" t="str">
        <f t="shared" si="3"/>
        <v>Fail</v>
      </c>
      <c r="N43" s="12" t="str">
        <f t="shared" si="4"/>
        <v>B</v>
      </c>
    </row>
    <row r="44" spans="1:14" x14ac:dyDescent="0.35">
      <c r="A44" s="1">
        <v>43</v>
      </c>
      <c r="B44" s="1" t="s">
        <v>56</v>
      </c>
      <c r="C44" s="1" t="s">
        <v>13</v>
      </c>
      <c r="D44" s="1">
        <v>15</v>
      </c>
      <c r="E44" s="1" t="s">
        <v>14</v>
      </c>
      <c r="F44" s="1">
        <v>43</v>
      </c>
      <c r="G44" s="1">
        <v>2</v>
      </c>
      <c r="H44" s="1">
        <v>17</v>
      </c>
      <c r="I44" s="1">
        <v>78</v>
      </c>
      <c r="J44" s="2">
        <f t="shared" si="0"/>
        <v>140</v>
      </c>
      <c r="K44" s="6">
        <f t="shared" si="1"/>
        <v>35</v>
      </c>
      <c r="L44" s="8">
        <f t="shared" si="2"/>
        <v>35</v>
      </c>
      <c r="M44" s="9" t="str">
        <f t="shared" si="3"/>
        <v>Fail</v>
      </c>
      <c r="N44" s="12" t="str">
        <f t="shared" si="4"/>
        <v>D</v>
      </c>
    </row>
    <row r="45" spans="1:14" x14ac:dyDescent="0.35">
      <c r="A45" s="1">
        <v>44</v>
      </c>
      <c r="B45" s="1" t="s">
        <v>57</v>
      </c>
      <c r="C45" s="1" t="s">
        <v>10</v>
      </c>
      <c r="D45" s="1">
        <v>15</v>
      </c>
      <c r="E45" s="1" t="s">
        <v>14</v>
      </c>
      <c r="F45" s="1">
        <v>26</v>
      </c>
      <c r="G45" s="1">
        <v>46</v>
      </c>
      <c r="H45" s="1">
        <v>81</v>
      </c>
      <c r="I45" s="1">
        <v>63</v>
      </c>
      <c r="J45" s="2">
        <f t="shared" si="0"/>
        <v>216</v>
      </c>
      <c r="K45" s="6">
        <f t="shared" si="1"/>
        <v>54</v>
      </c>
      <c r="L45" s="8">
        <f t="shared" si="2"/>
        <v>54</v>
      </c>
      <c r="M45" s="9" t="str">
        <f t="shared" si="3"/>
        <v>Fail</v>
      </c>
      <c r="N45" s="12" t="str">
        <f t="shared" si="4"/>
        <v>C</v>
      </c>
    </row>
    <row r="46" spans="1:14" x14ac:dyDescent="0.35">
      <c r="A46" s="1">
        <v>45</v>
      </c>
      <c r="B46" s="1" t="s">
        <v>58</v>
      </c>
      <c r="C46" s="1" t="s">
        <v>13</v>
      </c>
      <c r="D46" s="1">
        <v>15</v>
      </c>
      <c r="E46" s="1" t="s">
        <v>11</v>
      </c>
      <c r="F46" s="1">
        <v>65</v>
      </c>
      <c r="G46" s="1">
        <v>7</v>
      </c>
      <c r="H46" s="1">
        <v>57</v>
      </c>
      <c r="I46" s="1">
        <v>27</v>
      </c>
      <c r="J46" s="2">
        <f t="shared" si="0"/>
        <v>156</v>
      </c>
      <c r="K46" s="6">
        <f t="shared" si="1"/>
        <v>39</v>
      </c>
      <c r="L46" s="8">
        <f t="shared" si="2"/>
        <v>39</v>
      </c>
      <c r="M46" s="9" t="str">
        <f t="shared" si="3"/>
        <v>Fail</v>
      </c>
      <c r="N46" s="12" t="str">
        <f t="shared" si="4"/>
        <v>D</v>
      </c>
    </row>
    <row r="47" spans="1:14" x14ac:dyDescent="0.35">
      <c r="A47" s="1">
        <v>46</v>
      </c>
      <c r="B47" s="1" t="s">
        <v>59</v>
      </c>
      <c r="C47" s="1" t="s">
        <v>13</v>
      </c>
      <c r="D47" s="1">
        <v>14</v>
      </c>
      <c r="E47" s="1" t="s">
        <v>18</v>
      </c>
      <c r="F47" s="1">
        <v>50</v>
      </c>
      <c r="G47" s="1">
        <v>22</v>
      </c>
      <c r="H47" s="1">
        <v>50</v>
      </c>
      <c r="I47" s="1">
        <v>78</v>
      </c>
      <c r="J47" s="2">
        <f t="shared" si="0"/>
        <v>200</v>
      </c>
      <c r="K47" s="6">
        <f t="shared" si="1"/>
        <v>50</v>
      </c>
      <c r="L47" s="8">
        <f t="shared" si="2"/>
        <v>50</v>
      </c>
      <c r="M47" s="9" t="str">
        <f t="shared" si="3"/>
        <v>Fail</v>
      </c>
      <c r="N47" s="12" t="str">
        <f t="shared" si="4"/>
        <v>C</v>
      </c>
    </row>
    <row r="48" spans="1:14" x14ac:dyDescent="0.35">
      <c r="A48" s="1">
        <v>47</v>
      </c>
      <c r="B48" s="1" t="s">
        <v>60</v>
      </c>
      <c r="C48" s="1" t="s">
        <v>10</v>
      </c>
      <c r="D48" s="1">
        <v>14</v>
      </c>
      <c r="E48" s="1" t="s">
        <v>18</v>
      </c>
      <c r="F48" s="1">
        <v>84</v>
      </c>
      <c r="G48" s="1">
        <v>57</v>
      </c>
      <c r="H48" s="1">
        <v>25</v>
      </c>
      <c r="I48" s="1">
        <v>57</v>
      </c>
      <c r="J48" s="2">
        <f t="shared" si="0"/>
        <v>223</v>
      </c>
      <c r="K48" s="6">
        <f t="shared" si="1"/>
        <v>55.75</v>
      </c>
      <c r="L48" s="8">
        <f t="shared" si="2"/>
        <v>55.75</v>
      </c>
      <c r="M48" s="9" t="str">
        <f t="shared" si="3"/>
        <v>Fail</v>
      </c>
      <c r="N48" s="12" t="str">
        <f t="shared" si="4"/>
        <v>C</v>
      </c>
    </row>
    <row r="49" spans="1:14" x14ac:dyDescent="0.35">
      <c r="A49" s="1">
        <v>48</v>
      </c>
      <c r="B49" s="1" t="s">
        <v>61</v>
      </c>
      <c r="C49" s="1" t="s">
        <v>10</v>
      </c>
      <c r="D49" s="1">
        <v>15</v>
      </c>
      <c r="E49" s="1" t="s">
        <v>11</v>
      </c>
      <c r="F49" s="1">
        <v>78</v>
      </c>
      <c r="G49" s="1">
        <v>58</v>
      </c>
      <c r="H49" s="1">
        <v>1</v>
      </c>
      <c r="I49" s="1">
        <v>33</v>
      </c>
      <c r="J49" s="2">
        <f t="shared" si="0"/>
        <v>170</v>
      </c>
      <c r="K49" s="6">
        <f t="shared" si="1"/>
        <v>42.5</v>
      </c>
      <c r="L49" s="8">
        <f t="shared" si="2"/>
        <v>42.5</v>
      </c>
      <c r="M49" s="9" t="str">
        <f t="shared" si="3"/>
        <v>Fail</v>
      </c>
      <c r="N49" s="12" t="str">
        <f t="shared" si="4"/>
        <v>D</v>
      </c>
    </row>
    <row r="50" spans="1:14" x14ac:dyDescent="0.35">
      <c r="A50" s="1">
        <v>49</v>
      </c>
      <c r="B50" s="1" t="s">
        <v>62</v>
      </c>
      <c r="C50" s="1" t="s">
        <v>13</v>
      </c>
      <c r="D50" s="1">
        <v>13</v>
      </c>
      <c r="E50" s="1" t="s">
        <v>14</v>
      </c>
      <c r="F50" s="1">
        <v>81</v>
      </c>
      <c r="G50" s="1">
        <v>25</v>
      </c>
      <c r="H50" s="1">
        <v>99</v>
      </c>
      <c r="I50" s="1">
        <v>13</v>
      </c>
      <c r="J50" s="2">
        <f t="shared" si="0"/>
        <v>218</v>
      </c>
      <c r="K50" s="6">
        <f t="shared" si="1"/>
        <v>54.5</v>
      </c>
      <c r="L50" s="8">
        <f t="shared" si="2"/>
        <v>54.500000000000007</v>
      </c>
      <c r="M50" s="9" t="str">
        <f t="shared" si="3"/>
        <v>Fail</v>
      </c>
      <c r="N50" s="12" t="str">
        <f t="shared" si="4"/>
        <v>C</v>
      </c>
    </row>
    <row r="51" spans="1:14" x14ac:dyDescent="0.35">
      <c r="A51" s="1">
        <v>50</v>
      </c>
      <c r="B51" s="1" t="s">
        <v>63</v>
      </c>
      <c r="C51" s="1" t="s">
        <v>13</v>
      </c>
      <c r="D51" s="1">
        <v>14</v>
      </c>
      <c r="E51" s="1" t="s">
        <v>18</v>
      </c>
      <c r="F51" s="1">
        <v>94</v>
      </c>
      <c r="G51" s="1">
        <v>15</v>
      </c>
      <c r="H51" s="1">
        <v>66</v>
      </c>
      <c r="I51" s="1">
        <v>34</v>
      </c>
      <c r="J51" s="2">
        <f t="shared" si="0"/>
        <v>209</v>
      </c>
      <c r="K51" s="6">
        <f t="shared" si="1"/>
        <v>52.25</v>
      </c>
      <c r="L51" s="8">
        <f t="shared" si="2"/>
        <v>52.25</v>
      </c>
      <c r="M51" s="9" t="str">
        <f t="shared" si="3"/>
        <v>Fail</v>
      </c>
      <c r="N51" s="12" t="str">
        <f t="shared" si="4"/>
        <v>C</v>
      </c>
    </row>
    <row r="52" spans="1:14" x14ac:dyDescent="0.35">
      <c r="A52" s="1">
        <v>51</v>
      </c>
      <c r="B52" s="1" t="s">
        <v>64</v>
      </c>
      <c r="C52" s="1" t="s">
        <v>13</v>
      </c>
      <c r="D52" s="1">
        <v>14</v>
      </c>
      <c r="E52" s="1" t="s">
        <v>11</v>
      </c>
      <c r="F52" s="1">
        <v>31</v>
      </c>
      <c r="G52" s="1">
        <v>37</v>
      </c>
      <c r="H52" s="1">
        <v>77</v>
      </c>
      <c r="I52" s="1">
        <v>79</v>
      </c>
      <c r="J52" s="2">
        <f t="shared" si="0"/>
        <v>224</v>
      </c>
      <c r="K52" s="6">
        <f t="shared" si="1"/>
        <v>56</v>
      </c>
      <c r="L52" s="8">
        <f t="shared" si="2"/>
        <v>56.000000000000007</v>
      </c>
      <c r="M52" s="9" t="str">
        <f t="shared" si="3"/>
        <v>Fail</v>
      </c>
      <c r="N52" s="12" t="str">
        <f t="shared" si="4"/>
        <v>C</v>
      </c>
    </row>
    <row r="53" spans="1:14" x14ac:dyDescent="0.35">
      <c r="A53" s="1">
        <v>52</v>
      </c>
      <c r="B53" s="1" t="s">
        <v>65</v>
      </c>
      <c r="C53" s="1" t="s">
        <v>10</v>
      </c>
      <c r="D53" s="1">
        <v>13</v>
      </c>
      <c r="E53" s="1" t="s">
        <v>18</v>
      </c>
      <c r="F53" s="1">
        <v>17</v>
      </c>
      <c r="G53" s="1">
        <v>99</v>
      </c>
      <c r="H53" s="1">
        <v>29</v>
      </c>
      <c r="I53" s="1">
        <v>85</v>
      </c>
      <c r="J53" s="2">
        <f t="shared" si="0"/>
        <v>230</v>
      </c>
      <c r="K53" s="6">
        <f t="shared" si="1"/>
        <v>57.5</v>
      </c>
      <c r="L53" s="8">
        <f t="shared" si="2"/>
        <v>57.499999999999993</v>
      </c>
      <c r="M53" s="9" t="str">
        <f t="shared" si="3"/>
        <v>Fail</v>
      </c>
      <c r="N53" s="12" t="str">
        <f t="shared" si="4"/>
        <v>C</v>
      </c>
    </row>
    <row r="54" spans="1:14" x14ac:dyDescent="0.35">
      <c r="A54" s="1">
        <v>53</v>
      </c>
      <c r="B54" s="1" t="s">
        <v>66</v>
      </c>
      <c r="C54" s="1" t="s">
        <v>10</v>
      </c>
      <c r="D54" s="1">
        <v>15</v>
      </c>
      <c r="E54" s="1" t="s">
        <v>14</v>
      </c>
      <c r="F54" s="1">
        <v>15</v>
      </c>
      <c r="G54" s="1">
        <v>84</v>
      </c>
      <c r="H54" s="1">
        <v>40</v>
      </c>
      <c r="I54" s="1">
        <v>40</v>
      </c>
      <c r="J54" s="2">
        <f t="shared" si="0"/>
        <v>179</v>
      </c>
      <c r="K54" s="6">
        <f t="shared" si="1"/>
        <v>44.75</v>
      </c>
      <c r="L54" s="8">
        <f t="shared" si="2"/>
        <v>44.75</v>
      </c>
      <c r="M54" s="9" t="str">
        <f t="shared" si="3"/>
        <v>Fail</v>
      </c>
      <c r="N54" s="12" t="str">
        <f t="shared" si="4"/>
        <v>D</v>
      </c>
    </row>
    <row r="55" spans="1:14" x14ac:dyDescent="0.35">
      <c r="A55" s="1">
        <v>54</v>
      </c>
      <c r="B55" s="1" t="s">
        <v>67</v>
      </c>
      <c r="C55" s="1" t="s">
        <v>13</v>
      </c>
      <c r="D55" s="1">
        <v>15</v>
      </c>
      <c r="E55" s="1" t="s">
        <v>11</v>
      </c>
      <c r="F55" s="1">
        <v>23</v>
      </c>
      <c r="G55" s="1">
        <v>44</v>
      </c>
      <c r="H55" s="1">
        <v>76</v>
      </c>
      <c r="I55" s="1">
        <v>46</v>
      </c>
      <c r="J55" s="2">
        <f t="shared" si="0"/>
        <v>189</v>
      </c>
      <c r="K55" s="6">
        <f t="shared" si="1"/>
        <v>47.25</v>
      </c>
      <c r="L55" s="8">
        <f t="shared" si="2"/>
        <v>47.25</v>
      </c>
      <c r="M55" s="9" t="str">
        <f t="shared" si="3"/>
        <v>Fail</v>
      </c>
      <c r="N55" s="12" t="str">
        <f t="shared" si="4"/>
        <v>D</v>
      </c>
    </row>
    <row r="56" spans="1:14" x14ac:dyDescent="0.35">
      <c r="A56" s="1">
        <v>55</v>
      </c>
      <c r="B56" s="1" t="s">
        <v>68</v>
      </c>
      <c r="C56" s="1" t="s">
        <v>13</v>
      </c>
      <c r="D56" s="1">
        <v>15</v>
      </c>
      <c r="E56" s="1" t="s">
        <v>14</v>
      </c>
      <c r="F56" s="1">
        <v>55</v>
      </c>
      <c r="G56" s="1">
        <v>64</v>
      </c>
      <c r="H56" s="1">
        <v>56</v>
      </c>
      <c r="I56" s="1">
        <v>69</v>
      </c>
      <c r="J56" s="2">
        <f t="shared" si="0"/>
        <v>244</v>
      </c>
      <c r="K56" s="6">
        <f t="shared" si="1"/>
        <v>61</v>
      </c>
      <c r="L56" s="8">
        <f t="shared" si="2"/>
        <v>61</v>
      </c>
      <c r="M56" s="9" t="str">
        <f t="shared" si="3"/>
        <v>Pass</v>
      </c>
      <c r="N56" s="12" t="str">
        <f t="shared" si="4"/>
        <v>B</v>
      </c>
    </row>
    <row r="57" spans="1:14" x14ac:dyDescent="0.35">
      <c r="A57" s="1">
        <v>56</v>
      </c>
      <c r="B57" s="1" t="s">
        <v>69</v>
      </c>
      <c r="C57" s="1" t="s">
        <v>10</v>
      </c>
      <c r="D57" s="1">
        <v>14</v>
      </c>
      <c r="E57" s="1" t="s">
        <v>14</v>
      </c>
      <c r="F57" s="1">
        <v>53</v>
      </c>
      <c r="G57" s="1">
        <v>53</v>
      </c>
      <c r="H57" s="1">
        <v>49</v>
      </c>
      <c r="I57" s="1">
        <v>43</v>
      </c>
      <c r="J57" s="2">
        <f t="shared" si="0"/>
        <v>198</v>
      </c>
      <c r="K57" s="6">
        <f t="shared" si="1"/>
        <v>49.5</v>
      </c>
      <c r="L57" s="8">
        <f t="shared" si="2"/>
        <v>49.5</v>
      </c>
      <c r="M57" s="9" t="str">
        <f t="shared" si="3"/>
        <v>Pass</v>
      </c>
      <c r="N57" s="12" t="str">
        <f t="shared" si="4"/>
        <v>D</v>
      </c>
    </row>
    <row r="58" spans="1:14" x14ac:dyDescent="0.35">
      <c r="A58" s="1">
        <v>57</v>
      </c>
      <c r="B58" s="1" t="s">
        <v>70</v>
      </c>
      <c r="C58" s="1" t="s">
        <v>13</v>
      </c>
      <c r="D58" s="1">
        <v>15</v>
      </c>
      <c r="E58" s="1" t="s">
        <v>18</v>
      </c>
      <c r="F58" s="1">
        <v>46</v>
      </c>
      <c r="G58" s="1">
        <v>37</v>
      </c>
      <c r="H58" s="1">
        <v>63</v>
      </c>
      <c r="I58" s="1">
        <v>17</v>
      </c>
      <c r="J58" s="2">
        <f t="shared" si="0"/>
        <v>163</v>
      </c>
      <c r="K58" s="6">
        <f t="shared" si="1"/>
        <v>40.75</v>
      </c>
      <c r="L58" s="8">
        <f t="shared" si="2"/>
        <v>40.75</v>
      </c>
      <c r="M58" s="9" t="str">
        <f t="shared" si="3"/>
        <v>Fail</v>
      </c>
      <c r="N58" s="12" t="str">
        <f t="shared" si="4"/>
        <v>D</v>
      </c>
    </row>
    <row r="59" spans="1:14" x14ac:dyDescent="0.35">
      <c r="A59" s="1">
        <v>58</v>
      </c>
      <c r="B59" s="1" t="s">
        <v>71</v>
      </c>
      <c r="C59" s="1" t="s">
        <v>13</v>
      </c>
      <c r="D59" s="1">
        <v>14</v>
      </c>
      <c r="E59" s="1" t="s">
        <v>18</v>
      </c>
      <c r="F59" s="1">
        <v>64</v>
      </c>
      <c r="G59" s="1">
        <v>1</v>
      </c>
      <c r="H59" s="1">
        <v>74</v>
      </c>
      <c r="I59" s="1">
        <v>6</v>
      </c>
      <c r="J59" s="2">
        <f t="shared" si="0"/>
        <v>145</v>
      </c>
      <c r="K59" s="6">
        <f t="shared" si="1"/>
        <v>36.25</v>
      </c>
      <c r="L59" s="8">
        <f t="shared" si="2"/>
        <v>36.25</v>
      </c>
      <c r="M59" s="9" t="str">
        <f t="shared" si="3"/>
        <v>Fail</v>
      </c>
      <c r="N59" s="12" t="str">
        <f t="shared" si="4"/>
        <v>D</v>
      </c>
    </row>
    <row r="60" spans="1:14" x14ac:dyDescent="0.35">
      <c r="A60" s="1">
        <v>59</v>
      </c>
      <c r="B60" s="1" t="s">
        <v>72</v>
      </c>
      <c r="C60" s="1" t="s">
        <v>10</v>
      </c>
      <c r="D60" s="1">
        <v>14</v>
      </c>
      <c r="E60" s="1" t="s">
        <v>11</v>
      </c>
      <c r="F60" s="1">
        <v>41</v>
      </c>
      <c r="G60" s="1">
        <v>37</v>
      </c>
      <c r="H60" s="1">
        <v>26</v>
      </c>
      <c r="I60" s="1">
        <v>65</v>
      </c>
      <c r="J60" s="2">
        <f t="shared" si="0"/>
        <v>169</v>
      </c>
      <c r="K60" s="6">
        <f t="shared" si="1"/>
        <v>42.25</v>
      </c>
      <c r="L60" s="8">
        <f t="shared" si="2"/>
        <v>42.25</v>
      </c>
      <c r="M60" s="9" t="str">
        <f t="shared" si="3"/>
        <v>Fail</v>
      </c>
      <c r="N60" s="12" t="str">
        <f t="shared" si="4"/>
        <v>D</v>
      </c>
    </row>
    <row r="61" spans="1:14" x14ac:dyDescent="0.35">
      <c r="A61" s="1">
        <v>60</v>
      </c>
      <c r="B61" s="1" t="s">
        <v>73</v>
      </c>
      <c r="C61" s="1" t="s">
        <v>10</v>
      </c>
      <c r="D61" s="1">
        <v>14</v>
      </c>
      <c r="E61" s="1" t="s">
        <v>14</v>
      </c>
      <c r="F61" s="1">
        <v>61</v>
      </c>
      <c r="G61" s="1">
        <v>71</v>
      </c>
      <c r="H61" s="1">
        <v>77</v>
      </c>
      <c r="I61" s="1">
        <v>64</v>
      </c>
      <c r="J61" s="2">
        <f t="shared" si="0"/>
        <v>273</v>
      </c>
      <c r="K61" s="6">
        <f t="shared" si="1"/>
        <v>68.25</v>
      </c>
      <c r="L61" s="8">
        <f t="shared" si="2"/>
        <v>68.25</v>
      </c>
      <c r="M61" s="9" t="str">
        <f t="shared" si="3"/>
        <v>Pass</v>
      </c>
      <c r="N61" s="12" t="str">
        <f t="shared" si="4"/>
        <v>B</v>
      </c>
    </row>
    <row r="62" spans="1:14" x14ac:dyDescent="0.35">
      <c r="A62" s="1">
        <v>61</v>
      </c>
      <c r="B62" s="1" t="s">
        <v>74</v>
      </c>
      <c r="C62" s="1" t="s">
        <v>10</v>
      </c>
      <c r="D62" s="1">
        <v>14</v>
      </c>
      <c r="E62" s="1" t="s">
        <v>11</v>
      </c>
      <c r="F62" s="1">
        <v>16</v>
      </c>
      <c r="G62" s="1">
        <v>57</v>
      </c>
      <c r="H62" s="1">
        <v>90</v>
      </c>
      <c r="I62" s="1">
        <v>14</v>
      </c>
      <c r="J62" s="2">
        <f t="shared" si="0"/>
        <v>177</v>
      </c>
      <c r="K62" s="6">
        <f t="shared" si="1"/>
        <v>44.25</v>
      </c>
      <c r="L62" s="8">
        <f t="shared" si="2"/>
        <v>44.25</v>
      </c>
      <c r="M62" s="9" t="str">
        <f t="shared" si="3"/>
        <v>Fail</v>
      </c>
      <c r="N62" s="12" t="str">
        <f t="shared" si="4"/>
        <v>D</v>
      </c>
    </row>
    <row r="63" spans="1:14" x14ac:dyDescent="0.35">
      <c r="A63" s="1">
        <v>62</v>
      </c>
      <c r="B63" s="1" t="s">
        <v>75</v>
      </c>
      <c r="C63" s="1" t="s">
        <v>10</v>
      </c>
      <c r="D63" s="1">
        <v>13</v>
      </c>
      <c r="E63" s="1" t="s">
        <v>11</v>
      </c>
      <c r="F63" s="1">
        <v>49</v>
      </c>
      <c r="G63" s="1">
        <v>90</v>
      </c>
      <c r="H63" s="1">
        <v>13</v>
      </c>
      <c r="I63" s="1">
        <v>98</v>
      </c>
      <c r="J63" s="2">
        <f t="shared" si="0"/>
        <v>250</v>
      </c>
      <c r="K63" s="6">
        <f t="shared" si="1"/>
        <v>62.5</v>
      </c>
      <c r="L63" s="8">
        <f t="shared" si="2"/>
        <v>62.5</v>
      </c>
      <c r="M63" s="9" t="str">
        <f t="shared" si="3"/>
        <v>Fail</v>
      </c>
      <c r="N63" s="12" t="str">
        <f t="shared" si="4"/>
        <v>B</v>
      </c>
    </row>
    <row r="64" spans="1:14" x14ac:dyDescent="0.35">
      <c r="A64" s="1">
        <v>63</v>
      </c>
      <c r="B64" s="1" t="s">
        <v>76</v>
      </c>
      <c r="C64" s="1" t="s">
        <v>13</v>
      </c>
      <c r="D64" s="1">
        <v>14</v>
      </c>
      <c r="E64" s="1" t="s">
        <v>18</v>
      </c>
      <c r="F64" s="1">
        <v>16</v>
      </c>
      <c r="G64" s="1">
        <v>45</v>
      </c>
      <c r="H64" s="1">
        <v>44</v>
      </c>
      <c r="I64" s="1">
        <v>5</v>
      </c>
      <c r="J64" s="2">
        <f t="shared" si="0"/>
        <v>110</v>
      </c>
      <c r="K64" s="6">
        <f t="shared" si="1"/>
        <v>27.5</v>
      </c>
      <c r="L64" s="8">
        <f t="shared" si="2"/>
        <v>27.500000000000004</v>
      </c>
      <c r="M64" s="9" t="str">
        <f t="shared" si="3"/>
        <v>Fail</v>
      </c>
      <c r="N64" s="12" t="str">
        <f t="shared" si="4"/>
        <v>F</v>
      </c>
    </row>
    <row r="65" spans="1:14" x14ac:dyDescent="0.35">
      <c r="A65" s="1">
        <v>64</v>
      </c>
      <c r="B65" s="1" t="s">
        <v>77</v>
      </c>
      <c r="C65" s="1" t="s">
        <v>13</v>
      </c>
      <c r="D65" s="1">
        <v>15</v>
      </c>
      <c r="E65" s="1" t="s">
        <v>14</v>
      </c>
      <c r="F65" s="1">
        <v>78</v>
      </c>
      <c r="G65" s="1">
        <v>74</v>
      </c>
      <c r="H65" s="1">
        <v>31</v>
      </c>
      <c r="I65" s="1">
        <v>85</v>
      </c>
      <c r="J65" s="2">
        <f t="shared" si="0"/>
        <v>268</v>
      </c>
      <c r="K65" s="6">
        <f t="shared" si="1"/>
        <v>67</v>
      </c>
      <c r="L65" s="8">
        <f t="shared" si="2"/>
        <v>67</v>
      </c>
      <c r="M65" s="9" t="str">
        <f t="shared" si="3"/>
        <v>Fail</v>
      </c>
      <c r="N65" s="12" t="str">
        <f t="shared" si="4"/>
        <v>B</v>
      </c>
    </row>
    <row r="66" spans="1:14" x14ac:dyDescent="0.35">
      <c r="A66" s="1">
        <v>65</v>
      </c>
      <c r="B66" s="1" t="s">
        <v>78</v>
      </c>
      <c r="C66" s="1" t="s">
        <v>10</v>
      </c>
      <c r="D66" s="1">
        <v>14</v>
      </c>
      <c r="E66" s="1" t="s">
        <v>11</v>
      </c>
      <c r="F66" s="1">
        <v>88</v>
      </c>
      <c r="G66" s="1">
        <v>72</v>
      </c>
      <c r="H66" s="1">
        <v>31</v>
      </c>
      <c r="I66" s="1">
        <v>27</v>
      </c>
      <c r="J66" s="2">
        <f t="shared" si="0"/>
        <v>218</v>
      </c>
      <c r="K66" s="6">
        <f t="shared" si="1"/>
        <v>54.5</v>
      </c>
      <c r="L66" s="8">
        <f t="shared" si="2"/>
        <v>54.500000000000007</v>
      </c>
      <c r="M66" s="9" t="str">
        <f t="shared" si="3"/>
        <v>Fail</v>
      </c>
      <c r="N66" s="12" t="str">
        <f t="shared" si="4"/>
        <v>C</v>
      </c>
    </row>
    <row r="67" spans="1:14" x14ac:dyDescent="0.35">
      <c r="A67" s="1">
        <v>66</v>
      </c>
      <c r="B67" s="1" t="s">
        <v>79</v>
      </c>
      <c r="C67" s="1" t="s">
        <v>10</v>
      </c>
      <c r="D67" s="1">
        <v>14</v>
      </c>
      <c r="E67" s="1" t="s">
        <v>11</v>
      </c>
      <c r="F67" s="1">
        <v>85</v>
      </c>
      <c r="G67" s="1">
        <v>6</v>
      </c>
      <c r="H67" s="1">
        <v>10</v>
      </c>
      <c r="I67" s="1">
        <v>85</v>
      </c>
      <c r="J67" s="2">
        <f t="shared" ref="J67:J130" si="5">SUM(E67:I67)</f>
        <v>186</v>
      </c>
      <c r="K67" s="6">
        <f t="shared" ref="K67:K130" si="6">AVERAGE(F67:I67)</f>
        <v>46.5</v>
      </c>
      <c r="L67" s="8">
        <f t="shared" ref="L67:L130" si="7">(J67/400)*100</f>
        <v>46.5</v>
      </c>
      <c r="M67" s="9" t="str">
        <f t="shared" ref="M67:M130" si="8">IF(AND(F67&gt;=35,G67&gt;=35,H67&gt;=35,I67&gt;=35),"Pass","Fail")</f>
        <v>Fail</v>
      </c>
      <c r="N67" s="12" t="str">
        <f t="shared" ref="N67:N130" si="9">IF(L67&gt;=75,"A",IF(L67&gt;=60,"B",IF(L67&gt;=50,"C",IF(L67&gt;=35,"D","F"))))</f>
        <v>D</v>
      </c>
    </row>
    <row r="68" spans="1:14" x14ac:dyDescent="0.35">
      <c r="A68" s="1">
        <v>67</v>
      </c>
      <c r="B68" s="1" t="s">
        <v>80</v>
      </c>
      <c r="C68" s="1" t="s">
        <v>10</v>
      </c>
      <c r="D68" s="1">
        <v>15</v>
      </c>
      <c r="E68" s="1" t="s">
        <v>11</v>
      </c>
      <c r="F68" s="1">
        <v>45</v>
      </c>
      <c r="G68" s="1">
        <v>41</v>
      </c>
      <c r="H68" s="1">
        <v>26</v>
      </c>
      <c r="I68" s="1">
        <v>12</v>
      </c>
      <c r="J68" s="2">
        <f t="shared" si="5"/>
        <v>124</v>
      </c>
      <c r="K68" s="6">
        <f t="shared" si="6"/>
        <v>31</v>
      </c>
      <c r="L68" s="8">
        <f t="shared" si="7"/>
        <v>31</v>
      </c>
      <c r="M68" s="9" t="str">
        <f t="shared" si="8"/>
        <v>Fail</v>
      </c>
      <c r="N68" s="12" t="str">
        <f t="shared" si="9"/>
        <v>F</v>
      </c>
    </row>
    <row r="69" spans="1:14" x14ac:dyDescent="0.35">
      <c r="A69" s="1">
        <v>68</v>
      </c>
      <c r="B69" s="1" t="s">
        <v>81</v>
      </c>
      <c r="C69" s="1" t="s">
        <v>13</v>
      </c>
      <c r="D69" s="1">
        <v>15</v>
      </c>
      <c r="E69" s="1" t="s">
        <v>11</v>
      </c>
      <c r="F69" s="1">
        <v>39</v>
      </c>
      <c r="G69" s="1">
        <v>7</v>
      </c>
      <c r="H69" s="1">
        <v>100</v>
      </c>
      <c r="I69" s="1">
        <v>70</v>
      </c>
      <c r="J69" s="2">
        <f t="shared" si="5"/>
        <v>216</v>
      </c>
      <c r="K69" s="6">
        <f t="shared" si="6"/>
        <v>54</v>
      </c>
      <c r="L69" s="8">
        <f t="shared" si="7"/>
        <v>54</v>
      </c>
      <c r="M69" s="9" t="str">
        <f t="shared" si="8"/>
        <v>Fail</v>
      </c>
      <c r="N69" s="12" t="str">
        <f t="shared" si="9"/>
        <v>C</v>
      </c>
    </row>
    <row r="70" spans="1:14" x14ac:dyDescent="0.35">
      <c r="A70" s="1">
        <v>69</v>
      </c>
      <c r="B70" s="1" t="s">
        <v>82</v>
      </c>
      <c r="C70" s="1" t="s">
        <v>10</v>
      </c>
      <c r="D70" s="1">
        <v>15</v>
      </c>
      <c r="E70" s="1" t="s">
        <v>18</v>
      </c>
      <c r="F70" s="1">
        <v>84</v>
      </c>
      <c r="G70" s="1">
        <v>97</v>
      </c>
      <c r="H70" s="1">
        <v>70</v>
      </c>
      <c r="I70" s="1">
        <v>96</v>
      </c>
      <c r="J70" s="2">
        <f t="shared" si="5"/>
        <v>347</v>
      </c>
      <c r="K70" s="6">
        <f t="shared" si="6"/>
        <v>86.75</v>
      </c>
      <c r="L70" s="8">
        <f t="shared" si="7"/>
        <v>86.75</v>
      </c>
      <c r="M70" s="9" t="str">
        <f t="shared" si="8"/>
        <v>Pass</v>
      </c>
      <c r="N70" s="12" t="str">
        <f t="shared" si="9"/>
        <v>A</v>
      </c>
    </row>
    <row r="71" spans="1:14" x14ac:dyDescent="0.35">
      <c r="A71" s="1">
        <v>70</v>
      </c>
      <c r="B71" s="1" t="s">
        <v>83</v>
      </c>
      <c r="C71" s="1" t="s">
        <v>10</v>
      </c>
      <c r="D71" s="1">
        <v>14</v>
      </c>
      <c r="E71" s="1" t="s">
        <v>14</v>
      </c>
      <c r="F71" s="1">
        <v>34</v>
      </c>
      <c r="G71" s="1">
        <v>71</v>
      </c>
      <c r="H71" s="1">
        <v>35</v>
      </c>
      <c r="I71" s="1">
        <v>47</v>
      </c>
      <c r="J71" s="2">
        <f t="shared" si="5"/>
        <v>187</v>
      </c>
      <c r="K71" s="6">
        <f t="shared" si="6"/>
        <v>46.75</v>
      </c>
      <c r="L71" s="8">
        <f t="shared" si="7"/>
        <v>46.75</v>
      </c>
      <c r="M71" s="9" t="str">
        <f t="shared" si="8"/>
        <v>Fail</v>
      </c>
      <c r="N71" s="12" t="str">
        <f t="shared" si="9"/>
        <v>D</v>
      </c>
    </row>
    <row r="72" spans="1:14" x14ac:dyDescent="0.35">
      <c r="A72" s="1">
        <v>71</v>
      </c>
      <c r="B72" s="1" t="s">
        <v>84</v>
      </c>
      <c r="C72" s="1" t="s">
        <v>10</v>
      </c>
      <c r="D72" s="1">
        <v>15</v>
      </c>
      <c r="E72" s="1" t="s">
        <v>11</v>
      </c>
      <c r="F72" s="1">
        <v>95</v>
      </c>
      <c r="G72" s="1">
        <v>32</v>
      </c>
      <c r="H72" s="1">
        <v>91</v>
      </c>
      <c r="I72" s="1">
        <v>48</v>
      </c>
      <c r="J72" s="2">
        <f t="shared" si="5"/>
        <v>266</v>
      </c>
      <c r="K72" s="6">
        <f t="shared" si="6"/>
        <v>66.5</v>
      </c>
      <c r="L72" s="8">
        <f t="shared" si="7"/>
        <v>66.5</v>
      </c>
      <c r="M72" s="9" t="str">
        <f t="shared" si="8"/>
        <v>Fail</v>
      </c>
      <c r="N72" s="12" t="str">
        <f t="shared" si="9"/>
        <v>B</v>
      </c>
    </row>
    <row r="73" spans="1:14" x14ac:dyDescent="0.35">
      <c r="A73" s="1">
        <v>72</v>
      </c>
      <c r="B73" s="1" t="s">
        <v>85</v>
      </c>
      <c r="C73" s="1" t="s">
        <v>13</v>
      </c>
      <c r="D73" s="1">
        <v>14</v>
      </c>
      <c r="E73" s="1" t="s">
        <v>11</v>
      </c>
      <c r="F73" s="1">
        <v>48</v>
      </c>
      <c r="G73" s="1">
        <v>59</v>
      </c>
      <c r="H73" s="1">
        <v>60</v>
      </c>
      <c r="I73" s="1">
        <v>58</v>
      </c>
      <c r="J73" s="2">
        <f t="shared" si="5"/>
        <v>225</v>
      </c>
      <c r="K73" s="6">
        <f t="shared" si="6"/>
        <v>56.25</v>
      </c>
      <c r="L73" s="8">
        <f t="shared" si="7"/>
        <v>56.25</v>
      </c>
      <c r="M73" s="9" t="str">
        <f t="shared" si="8"/>
        <v>Pass</v>
      </c>
      <c r="N73" s="12" t="str">
        <f t="shared" si="9"/>
        <v>C</v>
      </c>
    </row>
    <row r="74" spans="1:14" x14ac:dyDescent="0.35">
      <c r="A74" s="1">
        <v>73</v>
      </c>
      <c r="B74" s="1" t="s">
        <v>86</v>
      </c>
      <c r="C74" s="1" t="s">
        <v>13</v>
      </c>
      <c r="D74" s="1">
        <v>13</v>
      </c>
      <c r="E74" s="1" t="s">
        <v>18</v>
      </c>
      <c r="F74" s="1">
        <v>72</v>
      </c>
      <c r="G74" s="1">
        <v>78</v>
      </c>
      <c r="H74" s="1">
        <v>40</v>
      </c>
      <c r="I74" s="1">
        <v>78</v>
      </c>
      <c r="J74" s="2">
        <f t="shared" si="5"/>
        <v>268</v>
      </c>
      <c r="K74" s="6">
        <f t="shared" si="6"/>
        <v>67</v>
      </c>
      <c r="L74" s="8">
        <f t="shared" si="7"/>
        <v>67</v>
      </c>
      <c r="M74" s="9" t="str">
        <f t="shared" si="8"/>
        <v>Pass</v>
      </c>
      <c r="N74" s="12" t="str">
        <f t="shared" si="9"/>
        <v>B</v>
      </c>
    </row>
    <row r="75" spans="1:14" x14ac:dyDescent="0.35">
      <c r="A75" s="1">
        <v>74</v>
      </c>
      <c r="B75" s="1" t="s">
        <v>87</v>
      </c>
      <c r="C75" s="1" t="s">
        <v>13</v>
      </c>
      <c r="D75" s="1">
        <v>13</v>
      </c>
      <c r="E75" s="1" t="s">
        <v>14</v>
      </c>
      <c r="F75" s="1">
        <v>46</v>
      </c>
      <c r="G75" s="1">
        <v>89</v>
      </c>
      <c r="H75" s="1">
        <v>83</v>
      </c>
      <c r="I75" s="1">
        <v>64</v>
      </c>
      <c r="J75" s="2">
        <f t="shared" si="5"/>
        <v>282</v>
      </c>
      <c r="K75" s="6">
        <f t="shared" si="6"/>
        <v>70.5</v>
      </c>
      <c r="L75" s="8">
        <f t="shared" si="7"/>
        <v>70.5</v>
      </c>
      <c r="M75" s="9" t="str">
        <f t="shared" si="8"/>
        <v>Pass</v>
      </c>
      <c r="N75" s="12" t="str">
        <f t="shared" si="9"/>
        <v>B</v>
      </c>
    </row>
    <row r="76" spans="1:14" x14ac:dyDescent="0.35">
      <c r="A76" s="1">
        <v>75</v>
      </c>
      <c r="B76" s="1" t="s">
        <v>88</v>
      </c>
      <c r="C76" s="1" t="s">
        <v>10</v>
      </c>
      <c r="D76" s="1">
        <v>13</v>
      </c>
      <c r="E76" s="1" t="s">
        <v>14</v>
      </c>
      <c r="F76" s="1">
        <v>85</v>
      </c>
      <c r="G76" s="1">
        <v>10</v>
      </c>
      <c r="H76" s="1">
        <v>62</v>
      </c>
      <c r="I76" s="1">
        <v>62</v>
      </c>
      <c r="J76" s="2">
        <f t="shared" si="5"/>
        <v>219</v>
      </c>
      <c r="K76" s="6">
        <f t="shared" si="6"/>
        <v>54.75</v>
      </c>
      <c r="L76" s="8">
        <f t="shared" si="7"/>
        <v>54.75</v>
      </c>
      <c r="M76" s="9" t="str">
        <f t="shared" si="8"/>
        <v>Fail</v>
      </c>
      <c r="N76" s="12" t="str">
        <f t="shared" si="9"/>
        <v>C</v>
      </c>
    </row>
    <row r="77" spans="1:14" x14ac:dyDescent="0.35">
      <c r="A77" s="1">
        <v>76</v>
      </c>
      <c r="B77" s="1" t="s">
        <v>89</v>
      </c>
      <c r="C77" s="1" t="s">
        <v>13</v>
      </c>
      <c r="D77" s="1">
        <v>15</v>
      </c>
      <c r="E77" s="1" t="s">
        <v>11</v>
      </c>
      <c r="F77" s="1">
        <v>32</v>
      </c>
      <c r="G77" s="1">
        <v>31</v>
      </c>
      <c r="H77" s="1">
        <v>89</v>
      </c>
      <c r="I77" s="1">
        <v>30</v>
      </c>
      <c r="J77" s="2">
        <f t="shared" si="5"/>
        <v>182</v>
      </c>
      <c r="K77" s="6">
        <f t="shared" si="6"/>
        <v>45.5</v>
      </c>
      <c r="L77" s="8">
        <f t="shared" si="7"/>
        <v>45.5</v>
      </c>
      <c r="M77" s="9" t="str">
        <f t="shared" si="8"/>
        <v>Fail</v>
      </c>
      <c r="N77" s="12" t="str">
        <f t="shared" si="9"/>
        <v>D</v>
      </c>
    </row>
    <row r="78" spans="1:14" x14ac:dyDescent="0.35">
      <c r="A78" s="1">
        <v>77</v>
      </c>
      <c r="B78" s="1" t="s">
        <v>90</v>
      </c>
      <c r="C78" s="1" t="s">
        <v>10</v>
      </c>
      <c r="D78" s="1">
        <v>13</v>
      </c>
      <c r="E78" s="1" t="s">
        <v>14</v>
      </c>
      <c r="F78" s="1">
        <v>27</v>
      </c>
      <c r="G78" s="1">
        <v>2</v>
      </c>
      <c r="H78" s="1">
        <v>63</v>
      </c>
      <c r="I78" s="1">
        <v>100</v>
      </c>
      <c r="J78" s="2">
        <f t="shared" si="5"/>
        <v>192</v>
      </c>
      <c r="K78" s="6">
        <f t="shared" si="6"/>
        <v>48</v>
      </c>
      <c r="L78" s="8">
        <f t="shared" si="7"/>
        <v>48</v>
      </c>
      <c r="M78" s="9" t="str">
        <f t="shared" si="8"/>
        <v>Fail</v>
      </c>
      <c r="N78" s="12" t="str">
        <f t="shared" si="9"/>
        <v>D</v>
      </c>
    </row>
    <row r="79" spans="1:14" x14ac:dyDescent="0.35">
      <c r="A79" s="1">
        <v>78</v>
      </c>
      <c r="B79" s="1" t="s">
        <v>91</v>
      </c>
      <c r="C79" s="1" t="s">
        <v>13</v>
      </c>
      <c r="D79" s="1">
        <v>15</v>
      </c>
      <c r="E79" s="1" t="s">
        <v>14</v>
      </c>
      <c r="F79" s="1">
        <v>87</v>
      </c>
      <c r="G79" s="1">
        <v>45</v>
      </c>
      <c r="H79" s="1">
        <v>73</v>
      </c>
      <c r="I79" s="1">
        <v>48</v>
      </c>
      <c r="J79" s="2">
        <f t="shared" si="5"/>
        <v>253</v>
      </c>
      <c r="K79" s="6">
        <f t="shared" si="6"/>
        <v>63.25</v>
      </c>
      <c r="L79" s="8">
        <f t="shared" si="7"/>
        <v>63.249999999999993</v>
      </c>
      <c r="M79" s="9" t="str">
        <f t="shared" si="8"/>
        <v>Pass</v>
      </c>
      <c r="N79" s="12" t="str">
        <f t="shared" si="9"/>
        <v>B</v>
      </c>
    </row>
    <row r="80" spans="1:14" x14ac:dyDescent="0.35">
      <c r="A80" s="1">
        <v>79</v>
      </c>
      <c r="B80" s="1" t="s">
        <v>92</v>
      </c>
      <c r="C80" s="1" t="s">
        <v>13</v>
      </c>
      <c r="D80" s="1">
        <v>13</v>
      </c>
      <c r="E80" s="1" t="s">
        <v>11</v>
      </c>
      <c r="F80" s="1">
        <v>27</v>
      </c>
      <c r="G80" s="1">
        <v>96</v>
      </c>
      <c r="H80" s="1">
        <v>89</v>
      </c>
      <c r="I80" s="1">
        <v>49</v>
      </c>
      <c r="J80" s="2">
        <f t="shared" si="5"/>
        <v>261</v>
      </c>
      <c r="K80" s="6">
        <f t="shared" si="6"/>
        <v>65.25</v>
      </c>
      <c r="L80" s="8">
        <f t="shared" si="7"/>
        <v>65.25</v>
      </c>
      <c r="M80" s="9" t="str">
        <f t="shared" si="8"/>
        <v>Fail</v>
      </c>
      <c r="N80" s="12" t="str">
        <f t="shared" si="9"/>
        <v>B</v>
      </c>
    </row>
    <row r="81" spans="1:14" x14ac:dyDescent="0.35">
      <c r="A81" s="1">
        <v>80</v>
      </c>
      <c r="B81" s="1" t="s">
        <v>93</v>
      </c>
      <c r="C81" s="1" t="s">
        <v>13</v>
      </c>
      <c r="D81" s="1">
        <v>13</v>
      </c>
      <c r="E81" s="1" t="s">
        <v>14</v>
      </c>
      <c r="F81" s="1">
        <v>13</v>
      </c>
      <c r="G81" s="1">
        <v>18</v>
      </c>
      <c r="H81" s="1">
        <v>80</v>
      </c>
      <c r="I81" s="1">
        <v>82</v>
      </c>
      <c r="J81" s="2">
        <f t="shared" si="5"/>
        <v>193</v>
      </c>
      <c r="K81" s="6">
        <f t="shared" si="6"/>
        <v>48.25</v>
      </c>
      <c r="L81" s="8">
        <f t="shared" si="7"/>
        <v>48.25</v>
      </c>
      <c r="M81" s="9" t="str">
        <f t="shared" si="8"/>
        <v>Fail</v>
      </c>
      <c r="N81" s="12" t="str">
        <f t="shared" si="9"/>
        <v>D</v>
      </c>
    </row>
    <row r="82" spans="1:14" x14ac:dyDescent="0.35">
      <c r="A82" s="1">
        <v>81</v>
      </c>
      <c r="B82" s="1" t="s">
        <v>94</v>
      </c>
      <c r="C82" s="1" t="s">
        <v>13</v>
      </c>
      <c r="D82" s="1">
        <v>15</v>
      </c>
      <c r="E82" s="1" t="s">
        <v>18</v>
      </c>
      <c r="F82" s="1">
        <v>1</v>
      </c>
      <c r="G82" s="1">
        <v>90</v>
      </c>
      <c r="H82" s="1">
        <v>42</v>
      </c>
      <c r="I82" s="1">
        <v>94</v>
      </c>
      <c r="J82" s="2">
        <f t="shared" si="5"/>
        <v>227</v>
      </c>
      <c r="K82" s="6">
        <f t="shared" si="6"/>
        <v>56.75</v>
      </c>
      <c r="L82" s="8">
        <f t="shared" si="7"/>
        <v>56.75</v>
      </c>
      <c r="M82" s="9" t="str">
        <f t="shared" si="8"/>
        <v>Fail</v>
      </c>
      <c r="N82" s="12" t="str">
        <f t="shared" si="9"/>
        <v>C</v>
      </c>
    </row>
    <row r="83" spans="1:14" x14ac:dyDescent="0.35">
      <c r="A83" s="1">
        <v>82</v>
      </c>
      <c r="B83" s="1" t="s">
        <v>95</v>
      </c>
      <c r="C83" s="1" t="s">
        <v>13</v>
      </c>
      <c r="D83" s="1">
        <v>15</v>
      </c>
      <c r="E83" s="1" t="s">
        <v>11</v>
      </c>
      <c r="F83" s="1">
        <v>84</v>
      </c>
      <c r="G83" s="1">
        <v>85</v>
      </c>
      <c r="H83" s="1">
        <v>14</v>
      </c>
      <c r="I83" s="1">
        <v>24</v>
      </c>
      <c r="J83" s="2">
        <f t="shared" si="5"/>
        <v>207</v>
      </c>
      <c r="K83" s="6">
        <f t="shared" si="6"/>
        <v>51.75</v>
      </c>
      <c r="L83" s="8">
        <f t="shared" si="7"/>
        <v>51.749999999999993</v>
      </c>
      <c r="M83" s="9" t="str">
        <f t="shared" si="8"/>
        <v>Fail</v>
      </c>
      <c r="N83" s="12" t="str">
        <f t="shared" si="9"/>
        <v>C</v>
      </c>
    </row>
    <row r="84" spans="1:14" x14ac:dyDescent="0.35">
      <c r="A84" s="1">
        <v>83</v>
      </c>
      <c r="B84" s="1" t="s">
        <v>96</v>
      </c>
      <c r="C84" s="1" t="s">
        <v>13</v>
      </c>
      <c r="D84" s="1">
        <v>14</v>
      </c>
      <c r="E84" s="1" t="s">
        <v>18</v>
      </c>
      <c r="F84" s="1">
        <v>59</v>
      </c>
      <c r="G84" s="1">
        <v>12</v>
      </c>
      <c r="H84" s="1">
        <v>45</v>
      </c>
      <c r="I84" s="1">
        <v>64</v>
      </c>
      <c r="J84" s="2">
        <f t="shared" si="5"/>
        <v>180</v>
      </c>
      <c r="K84" s="6">
        <f t="shared" si="6"/>
        <v>45</v>
      </c>
      <c r="L84" s="8">
        <f t="shared" si="7"/>
        <v>45</v>
      </c>
      <c r="M84" s="9" t="str">
        <f t="shared" si="8"/>
        <v>Fail</v>
      </c>
      <c r="N84" s="12" t="str">
        <f t="shared" si="9"/>
        <v>D</v>
      </c>
    </row>
    <row r="85" spans="1:14" x14ac:dyDescent="0.35">
      <c r="A85" s="1">
        <v>84</v>
      </c>
      <c r="B85" s="1" t="s">
        <v>97</v>
      </c>
      <c r="C85" s="1" t="s">
        <v>13</v>
      </c>
      <c r="D85" s="1">
        <v>13</v>
      </c>
      <c r="E85" s="1" t="s">
        <v>11</v>
      </c>
      <c r="F85" s="1">
        <v>34</v>
      </c>
      <c r="G85" s="1">
        <v>18</v>
      </c>
      <c r="H85" s="1">
        <v>39</v>
      </c>
      <c r="I85" s="1">
        <v>94</v>
      </c>
      <c r="J85" s="2">
        <f t="shared" si="5"/>
        <v>185</v>
      </c>
      <c r="K85" s="6">
        <f t="shared" si="6"/>
        <v>46.25</v>
      </c>
      <c r="L85" s="8">
        <f t="shared" si="7"/>
        <v>46.25</v>
      </c>
      <c r="M85" s="9" t="str">
        <f t="shared" si="8"/>
        <v>Fail</v>
      </c>
      <c r="N85" s="12" t="str">
        <f t="shared" si="9"/>
        <v>D</v>
      </c>
    </row>
    <row r="86" spans="1:14" x14ac:dyDescent="0.35">
      <c r="A86" s="1">
        <v>85</v>
      </c>
      <c r="B86" s="1" t="s">
        <v>98</v>
      </c>
      <c r="C86" s="1" t="s">
        <v>10</v>
      </c>
      <c r="D86" s="1">
        <v>13</v>
      </c>
      <c r="E86" s="1" t="s">
        <v>11</v>
      </c>
      <c r="F86" s="1">
        <v>36</v>
      </c>
      <c r="G86" s="1">
        <v>95</v>
      </c>
      <c r="H86" s="1">
        <v>55</v>
      </c>
      <c r="I86" s="1">
        <v>46</v>
      </c>
      <c r="J86" s="2">
        <f t="shared" si="5"/>
        <v>232</v>
      </c>
      <c r="K86" s="6">
        <f t="shared" si="6"/>
        <v>58</v>
      </c>
      <c r="L86" s="8">
        <f t="shared" si="7"/>
        <v>57.999999999999993</v>
      </c>
      <c r="M86" s="9" t="str">
        <f t="shared" si="8"/>
        <v>Pass</v>
      </c>
      <c r="N86" s="12" t="str">
        <f t="shared" si="9"/>
        <v>C</v>
      </c>
    </row>
    <row r="87" spans="1:14" x14ac:dyDescent="0.35">
      <c r="A87" s="1">
        <v>86</v>
      </c>
      <c r="B87" s="1" t="s">
        <v>99</v>
      </c>
      <c r="C87" s="1" t="s">
        <v>13</v>
      </c>
      <c r="D87" s="1">
        <v>15</v>
      </c>
      <c r="E87" s="1" t="s">
        <v>11</v>
      </c>
      <c r="F87" s="1">
        <v>17</v>
      </c>
      <c r="G87" s="1">
        <v>75</v>
      </c>
      <c r="H87" s="1">
        <v>8</v>
      </c>
      <c r="I87" s="1">
        <v>71</v>
      </c>
      <c r="J87" s="2">
        <f t="shared" si="5"/>
        <v>171</v>
      </c>
      <c r="K87" s="6">
        <f t="shared" si="6"/>
        <v>42.75</v>
      </c>
      <c r="L87" s="8">
        <f t="shared" si="7"/>
        <v>42.75</v>
      </c>
      <c r="M87" s="9" t="str">
        <f t="shared" si="8"/>
        <v>Fail</v>
      </c>
      <c r="N87" s="12" t="str">
        <f t="shared" si="9"/>
        <v>D</v>
      </c>
    </row>
    <row r="88" spans="1:14" x14ac:dyDescent="0.35">
      <c r="A88" s="1">
        <v>87</v>
      </c>
      <c r="B88" s="1" t="s">
        <v>100</v>
      </c>
      <c r="C88" s="1" t="s">
        <v>10</v>
      </c>
      <c r="D88" s="1">
        <v>13</v>
      </c>
      <c r="E88" s="1" t="s">
        <v>18</v>
      </c>
      <c r="F88" s="1">
        <v>8</v>
      </c>
      <c r="G88" s="1">
        <v>72</v>
      </c>
      <c r="H88" s="1">
        <v>78</v>
      </c>
      <c r="I88" s="1">
        <v>14</v>
      </c>
      <c r="J88" s="2">
        <f t="shared" si="5"/>
        <v>172</v>
      </c>
      <c r="K88" s="6">
        <f t="shared" si="6"/>
        <v>43</v>
      </c>
      <c r="L88" s="8">
        <f t="shared" si="7"/>
        <v>43</v>
      </c>
      <c r="M88" s="9" t="str">
        <f t="shared" si="8"/>
        <v>Fail</v>
      </c>
      <c r="N88" s="12" t="str">
        <f t="shared" si="9"/>
        <v>D</v>
      </c>
    </row>
    <row r="89" spans="1:14" x14ac:dyDescent="0.35">
      <c r="A89" s="1">
        <v>88</v>
      </c>
      <c r="B89" s="1" t="s">
        <v>101</v>
      </c>
      <c r="C89" s="1" t="s">
        <v>10</v>
      </c>
      <c r="D89" s="1">
        <v>15</v>
      </c>
      <c r="E89" s="1" t="s">
        <v>11</v>
      </c>
      <c r="F89" s="1">
        <v>44</v>
      </c>
      <c r="G89" s="1">
        <v>55</v>
      </c>
      <c r="H89" s="1">
        <v>51</v>
      </c>
      <c r="I89" s="1">
        <v>100</v>
      </c>
      <c r="J89" s="2">
        <f t="shared" si="5"/>
        <v>250</v>
      </c>
      <c r="K89" s="6">
        <f t="shared" si="6"/>
        <v>62.5</v>
      </c>
      <c r="L89" s="8">
        <f t="shared" si="7"/>
        <v>62.5</v>
      </c>
      <c r="M89" s="9" t="str">
        <f t="shared" si="8"/>
        <v>Pass</v>
      </c>
      <c r="N89" s="12" t="str">
        <f t="shared" si="9"/>
        <v>B</v>
      </c>
    </row>
    <row r="90" spans="1:14" x14ac:dyDescent="0.35">
      <c r="A90" s="1">
        <v>89</v>
      </c>
      <c r="B90" s="1" t="s">
        <v>102</v>
      </c>
      <c r="C90" s="1" t="s">
        <v>10</v>
      </c>
      <c r="D90" s="1">
        <v>15</v>
      </c>
      <c r="E90" s="1" t="s">
        <v>18</v>
      </c>
      <c r="F90" s="1">
        <v>58</v>
      </c>
      <c r="G90" s="1">
        <v>16</v>
      </c>
      <c r="H90" s="1">
        <v>64</v>
      </c>
      <c r="I90" s="1">
        <v>67</v>
      </c>
      <c r="J90" s="2">
        <f t="shared" si="5"/>
        <v>205</v>
      </c>
      <c r="K90" s="6">
        <f t="shared" si="6"/>
        <v>51.25</v>
      </c>
      <c r="L90" s="8">
        <f t="shared" si="7"/>
        <v>51.249999999999993</v>
      </c>
      <c r="M90" s="9" t="str">
        <f t="shared" si="8"/>
        <v>Fail</v>
      </c>
      <c r="N90" s="12" t="str">
        <f t="shared" si="9"/>
        <v>C</v>
      </c>
    </row>
    <row r="91" spans="1:14" x14ac:dyDescent="0.35">
      <c r="A91" s="1">
        <v>90</v>
      </c>
      <c r="B91" s="1" t="s">
        <v>103</v>
      </c>
      <c r="C91" s="1" t="s">
        <v>13</v>
      </c>
      <c r="D91" s="1">
        <v>15</v>
      </c>
      <c r="E91" s="1" t="s">
        <v>11</v>
      </c>
      <c r="F91" s="1">
        <v>64</v>
      </c>
      <c r="G91" s="1">
        <v>20</v>
      </c>
      <c r="H91" s="1">
        <v>86</v>
      </c>
      <c r="I91" s="1">
        <v>84</v>
      </c>
      <c r="J91" s="2">
        <f t="shared" si="5"/>
        <v>254</v>
      </c>
      <c r="K91" s="6">
        <f t="shared" si="6"/>
        <v>63.5</v>
      </c>
      <c r="L91" s="8">
        <f t="shared" si="7"/>
        <v>63.5</v>
      </c>
      <c r="M91" s="9" t="str">
        <f t="shared" si="8"/>
        <v>Fail</v>
      </c>
      <c r="N91" s="12" t="str">
        <f t="shared" si="9"/>
        <v>B</v>
      </c>
    </row>
    <row r="92" spans="1:14" x14ac:dyDescent="0.35">
      <c r="A92" s="1">
        <v>91</v>
      </c>
      <c r="B92" s="1" t="s">
        <v>104</v>
      </c>
      <c r="C92" s="1" t="s">
        <v>13</v>
      </c>
      <c r="D92" s="1">
        <v>13</v>
      </c>
      <c r="E92" s="1" t="s">
        <v>11</v>
      </c>
      <c r="F92" s="1">
        <v>23</v>
      </c>
      <c r="G92" s="1">
        <v>2</v>
      </c>
      <c r="H92" s="1">
        <v>42</v>
      </c>
      <c r="I92" s="1">
        <v>43</v>
      </c>
      <c r="J92" s="2">
        <f t="shared" si="5"/>
        <v>110</v>
      </c>
      <c r="K92" s="6">
        <f t="shared" si="6"/>
        <v>27.5</v>
      </c>
      <c r="L92" s="8">
        <f t="shared" si="7"/>
        <v>27.500000000000004</v>
      </c>
      <c r="M92" s="9" t="str">
        <f t="shared" si="8"/>
        <v>Fail</v>
      </c>
      <c r="N92" s="12" t="str">
        <f t="shared" si="9"/>
        <v>F</v>
      </c>
    </row>
    <row r="93" spans="1:14" x14ac:dyDescent="0.35">
      <c r="A93" s="1">
        <v>92</v>
      </c>
      <c r="B93" s="1" t="s">
        <v>105</v>
      </c>
      <c r="C93" s="1" t="s">
        <v>10</v>
      </c>
      <c r="D93" s="1">
        <v>15</v>
      </c>
      <c r="E93" s="1" t="s">
        <v>18</v>
      </c>
      <c r="F93" s="1">
        <v>79</v>
      </c>
      <c r="G93" s="1">
        <v>82</v>
      </c>
      <c r="H93" s="1">
        <v>99</v>
      </c>
      <c r="I93" s="1">
        <v>81</v>
      </c>
      <c r="J93" s="2">
        <f t="shared" si="5"/>
        <v>341</v>
      </c>
      <c r="K93" s="6">
        <f t="shared" si="6"/>
        <v>85.25</v>
      </c>
      <c r="L93" s="8">
        <f t="shared" si="7"/>
        <v>85.25</v>
      </c>
      <c r="M93" s="9" t="str">
        <f t="shared" si="8"/>
        <v>Pass</v>
      </c>
      <c r="N93" s="12" t="str">
        <f t="shared" si="9"/>
        <v>A</v>
      </c>
    </row>
    <row r="94" spans="1:14" x14ac:dyDescent="0.35">
      <c r="A94" s="1">
        <v>93</v>
      </c>
      <c r="B94" s="1" t="s">
        <v>106</v>
      </c>
      <c r="C94" s="1" t="s">
        <v>10</v>
      </c>
      <c r="D94" s="1">
        <v>15</v>
      </c>
      <c r="E94" s="1" t="s">
        <v>18</v>
      </c>
      <c r="F94" s="1">
        <v>22</v>
      </c>
      <c r="G94" s="1">
        <v>86</v>
      </c>
      <c r="H94" s="1">
        <v>9</v>
      </c>
      <c r="I94" s="1">
        <v>38</v>
      </c>
      <c r="J94" s="2">
        <f t="shared" si="5"/>
        <v>155</v>
      </c>
      <c r="K94" s="6">
        <f t="shared" si="6"/>
        <v>38.75</v>
      </c>
      <c r="L94" s="8">
        <f t="shared" si="7"/>
        <v>38.75</v>
      </c>
      <c r="M94" s="9" t="str">
        <f t="shared" si="8"/>
        <v>Fail</v>
      </c>
      <c r="N94" s="12" t="str">
        <f t="shared" si="9"/>
        <v>D</v>
      </c>
    </row>
    <row r="95" spans="1:14" x14ac:dyDescent="0.35">
      <c r="A95" s="1">
        <v>94</v>
      </c>
      <c r="B95" s="1" t="s">
        <v>107</v>
      </c>
      <c r="C95" s="1" t="s">
        <v>10</v>
      </c>
      <c r="D95" s="1">
        <v>13</v>
      </c>
      <c r="E95" s="1" t="s">
        <v>18</v>
      </c>
      <c r="F95" s="1">
        <v>43</v>
      </c>
      <c r="G95" s="1">
        <v>65</v>
      </c>
      <c r="H95" s="1">
        <v>18</v>
      </c>
      <c r="I95" s="1">
        <v>26</v>
      </c>
      <c r="J95" s="2">
        <f t="shared" si="5"/>
        <v>152</v>
      </c>
      <c r="K95" s="6">
        <f t="shared" si="6"/>
        <v>38</v>
      </c>
      <c r="L95" s="8">
        <f t="shared" si="7"/>
        <v>38</v>
      </c>
      <c r="M95" s="9" t="str">
        <f t="shared" si="8"/>
        <v>Fail</v>
      </c>
      <c r="N95" s="12" t="str">
        <f t="shared" si="9"/>
        <v>D</v>
      </c>
    </row>
    <row r="96" spans="1:14" x14ac:dyDescent="0.35">
      <c r="A96" s="1">
        <v>95</v>
      </c>
      <c r="B96" s="1" t="s">
        <v>108</v>
      </c>
      <c r="C96" s="1" t="s">
        <v>13</v>
      </c>
      <c r="D96" s="1">
        <v>14</v>
      </c>
      <c r="E96" s="1" t="s">
        <v>18</v>
      </c>
      <c r="F96" s="1">
        <v>64</v>
      </c>
      <c r="G96" s="1">
        <v>18</v>
      </c>
      <c r="H96" s="1">
        <v>73</v>
      </c>
      <c r="I96" s="1">
        <v>37</v>
      </c>
      <c r="J96" s="2">
        <f t="shared" si="5"/>
        <v>192</v>
      </c>
      <c r="K96" s="6">
        <f t="shared" si="6"/>
        <v>48</v>
      </c>
      <c r="L96" s="8">
        <f t="shared" si="7"/>
        <v>48</v>
      </c>
      <c r="M96" s="9" t="str">
        <f t="shared" si="8"/>
        <v>Fail</v>
      </c>
      <c r="N96" s="12" t="str">
        <f t="shared" si="9"/>
        <v>D</v>
      </c>
    </row>
    <row r="97" spans="1:14" x14ac:dyDescent="0.35">
      <c r="A97" s="1">
        <v>96</v>
      </c>
      <c r="B97" s="1" t="s">
        <v>109</v>
      </c>
      <c r="C97" s="1" t="s">
        <v>10</v>
      </c>
      <c r="D97" s="1">
        <v>15</v>
      </c>
      <c r="E97" s="1" t="s">
        <v>18</v>
      </c>
      <c r="F97" s="1">
        <v>58</v>
      </c>
      <c r="G97" s="1">
        <v>10</v>
      </c>
      <c r="H97" s="1">
        <v>99</v>
      </c>
      <c r="I97" s="1">
        <v>44</v>
      </c>
      <c r="J97" s="2">
        <f t="shared" si="5"/>
        <v>211</v>
      </c>
      <c r="K97" s="6">
        <f t="shared" si="6"/>
        <v>52.75</v>
      </c>
      <c r="L97" s="8">
        <f t="shared" si="7"/>
        <v>52.75</v>
      </c>
      <c r="M97" s="9" t="str">
        <f t="shared" si="8"/>
        <v>Fail</v>
      </c>
      <c r="N97" s="12" t="str">
        <f t="shared" si="9"/>
        <v>C</v>
      </c>
    </row>
    <row r="98" spans="1:14" x14ac:dyDescent="0.35">
      <c r="A98" s="1">
        <v>97</v>
      </c>
      <c r="B98" s="1" t="s">
        <v>110</v>
      </c>
      <c r="C98" s="1" t="s">
        <v>13</v>
      </c>
      <c r="D98" s="1">
        <v>13</v>
      </c>
      <c r="E98" s="1" t="s">
        <v>18</v>
      </c>
      <c r="F98" s="1">
        <v>19</v>
      </c>
      <c r="G98" s="1">
        <v>98</v>
      </c>
      <c r="H98" s="1">
        <v>13</v>
      </c>
      <c r="I98" s="1">
        <v>86</v>
      </c>
      <c r="J98" s="2">
        <f t="shared" si="5"/>
        <v>216</v>
      </c>
      <c r="K98" s="6">
        <f t="shared" si="6"/>
        <v>54</v>
      </c>
      <c r="L98" s="8">
        <f t="shared" si="7"/>
        <v>54</v>
      </c>
      <c r="M98" s="9" t="str">
        <f t="shared" si="8"/>
        <v>Fail</v>
      </c>
      <c r="N98" s="12" t="str">
        <f t="shared" si="9"/>
        <v>C</v>
      </c>
    </row>
    <row r="99" spans="1:14" x14ac:dyDescent="0.35">
      <c r="A99" s="1">
        <v>98</v>
      </c>
      <c r="B99" s="1" t="s">
        <v>111</v>
      </c>
      <c r="C99" s="1" t="s">
        <v>13</v>
      </c>
      <c r="D99" s="1">
        <v>14</v>
      </c>
      <c r="E99" s="1" t="s">
        <v>18</v>
      </c>
      <c r="F99" s="1">
        <v>40</v>
      </c>
      <c r="G99" s="1">
        <v>61</v>
      </c>
      <c r="H99" s="1">
        <v>63</v>
      </c>
      <c r="I99" s="1">
        <v>80</v>
      </c>
      <c r="J99" s="2">
        <f t="shared" si="5"/>
        <v>244</v>
      </c>
      <c r="K99" s="6">
        <f t="shared" si="6"/>
        <v>61</v>
      </c>
      <c r="L99" s="8">
        <f t="shared" si="7"/>
        <v>61</v>
      </c>
      <c r="M99" s="9" t="str">
        <f t="shared" si="8"/>
        <v>Pass</v>
      </c>
      <c r="N99" s="12" t="str">
        <f t="shared" si="9"/>
        <v>B</v>
      </c>
    </row>
    <row r="100" spans="1:14" x14ac:dyDescent="0.35">
      <c r="A100" s="1">
        <v>99</v>
      </c>
      <c r="B100" s="1" t="s">
        <v>112</v>
      </c>
      <c r="C100" s="1" t="s">
        <v>13</v>
      </c>
      <c r="D100" s="1">
        <v>14</v>
      </c>
      <c r="E100" s="1" t="s">
        <v>11</v>
      </c>
      <c r="F100" s="1">
        <v>72</v>
      </c>
      <c r="G100" s="1">
        <v>51</v>
      </c>
      <c r="H100" s="1">
        <v>50</v>
      </c>
      <c r="I100" s="1">
        <v>11</v>
      </c>
      <c r="J100" s="2">
        <f t="shared" si="5"/>
        <v>184</v>
      </c>
      <c r="K100" s="6">
        <f t="shared" si="6"/>
        <v>46</v>
      </c>
      <c r="L100" s="8">
        <f t="shared" si="7"/>
        <v>46</v>
      </c>
      <c r="M100" s="9" t="str">
        <f t="shared" si="8"/>
        <v>Fail</v>
      </c>
      <c r="N100" s="12" t="str">
        <f t="shared" si="9"/>
        <v>D</v>
      </c>
    </row>
    <row r="101" spans="1:14" x14ac:dyDescent="0.35">
      <c r="A101" s="1">
        <v>100</v>
      </c>
      <c r="B101" s="1" t="s">
        <v>113</v>
      </c>
      <c r="C101" s="1" t="s">
        <v>10</v>
      </c>
      <c r="D101" s="1">
        <v>15</v>
      </c>
      <c r="E101" s="1" t="s">
        <v>18</v>
      </c>
      <c r="F101" s="1">
        <v>66</v>
      </c>
      <c r="G101" s="1">
        <v>20</v>
      </c>
      <c r="H101" s="1">
        <v>76</v>
      </c>
      <c r="I101" s="1">
        <v>30</v>
      </c>
      <c r="J101" s="2">
        <f t="shared" si="5"/>
        <v>192</v>
      </c>
      <c r="K101" s="6">
        <f t="shared" si="6"/>
        <v>48</v>
      </c>
      <c r="L101" s="8">
        <f t="shared" si="7"/>
        <v>48</v>
      </c>
      <c r="M101" s="9" t="str">
        <f t="shared" si="8"/>
        <v>Fail</v>
      </c>
      <c r="N101" s="12" t="str">
        <f t="shared" si="9"/>
        <v>D</v>
      </c>
    </row>
    <row r="102" spans="1:14" x14ac:dyDescent="0.35">
      <c r="A102" s="1">
        <v>101</v>
      </c>
      <c r="B102" s="1" t="s">
        <v>114</v>
      </c>
      <c r="C102" s="1" t="s">
        <v>13</v>
      </c>
      <c r="D102" s="1">
        <v>14</v>
      </c>
      <c r="E102" s="1" t="s">
        <v>18</v>
      </c>
      <c r="F102" s="1">
        <v>64</v>
      </c>
      <c r="G102" s="1">
        <v>68</v>
      </c>
      <c r="H102" s="1">
        <v>89</v>
      </c>
      <c r="I102" s="1">
        <v>43</v>
      </c>
      <c r="J102" s="2">
        <f t="shared" si="5"/>
        <v>264</v>
      </c>
      <c r="K102" s="6">
        <f t="shared" si="6"/>
        <v>66</v>
      </c>
      <c r="L102" s="8">
        <f t="shared" si="7"/>
        <v>66</v>
      </c>
      <c r="M102" s="9" t="str">
        <f t="shared" si="8"/>
        <v>Pass</v>
      </c>
      <c r="N102" s="12" t="str">
        <f t="shared" si="9"/>
        <v>B</v>
      </c>
    </row>
    <row r="103" spans="1:14" x14ac:dyDescent="0.35">
      <c r="A103" s="1">
        <v>102</v>
      </c>
      <c r="B103" s="1" t="s">
        <v>115</v>
      </c>
      <c r="C103" s="1" t="s">
        <v>10</v>
      </c>
      <c r="D103" s="1">
        <v>13</v>
      </c>
      <c r="E103" s="1" t="s">
        <v>14</v>
      </c>
      <c r="F103" s="1">
        <v>80</v>
      </c>
      <c r="G103" s="1">
        <v>28</v>
      </c>
      <c r="H103" s="1">
        <v>53</v>
      </c>
      <c r="I103" s="1">
        <v>67</v>
      </c>
      <c r="J103" s="2">
        <f t="shared" si="5"/>
        <v>228</v>
      </c>
      <c r="K103" s="6">
        <f t="shared" si="6"/>
        <v>57</v>
      </c>
      <c r="L103" s="8">
        <f t="shared" si="7"/>
        <v>56.999999999999993</v>
      </c>
      <c r="M103" s="9" t="str">
        <f t="shared" si="8"/>
        <v>Fail</v>
      </c>
      <c r="N103" s="12" t="str">
        <f t="shared" si="9"/>
        <v>C</v>
      </c>
    </row>
    <row r="104" spans="1:14" x14ac:dyDescent="0.35">
      <c r="A104" s="1">
        <v>103</v>
      </c>
      <c r="B104" s="1" t="s">
        <v>116</v>
      </c>
      <c r="C104" s="1" t="s">
        <v>10</v>
      </c>
      <c r="D104" s="1">
        <v>13</v>
      </c>
      <c r="E104" s="1" t="s">
        <v>11</v>
      </c>
      <c r="F104" s="1">
        <v>2</v>
      </c>
      <c r="G104" s="1">
        <v>19</v>
      </c>
      <c r="H104" s="1">
        <v>48</v>
      </c>
      <c r="I104" s="1">
        <v>52</v>
      </c>
      <c r="J104" s="2">
        <f t="shared" si="5"/>
        <v>121</v>
      </c>
      <c r="K104" s="6">
        <f t="shared" si="6"/>
        <v>30.25</v>
      </c>
      <c r="L104" s="8">
        <f t="shared" si="7"/>
        <v>30.25</v>
      </c>
      <c r="M104" s="9" t="str">
        <f t="shared" si="8"/>
        <v>Fail</v>
      </c>
      <c r="N104" s="12" t="str">
        <f t="shared" si="9"/>
        <v>F</v>
      </c>
    </row>
    <row r="105" spans="1:14" x14ac:dyDescent="0.35">
      <c r="A105" s="1">
        <v>104</v>
      </c>
      <c r="B105" s="1" t="s">
        <v>117</v>
      </c>
      <c r="C105" s="1" t="s">
        <v>13</v>
      </c>
      <c r="D105" s="1">
        <v>15</v>
      </c>
      <c r="E105" s="1" t="s">
        <v>18</v>
      </c>
      <c r="F105" s="1">
        <v>37</v>
      </c>
      <c r="G105" s="1">
        <v>57</v>
      </c>
      <c r="H105" s="1">
        <v>48</v>
      </c>
      <c r="I105" s="1">
        <v>75</v>
      </c>
      <c r="J105" s="2">
        <f t="shared" si="5"/>
        <v>217</v>
      </c>
      <c r="K105" s="6">
        <f t="shared" si="6"/>
        <v>54.25</v>
      </c>
      <c r="L105" s="8">
        <f t="shared" si="7"/>
        <v>54.25</v>
      </c>
      <c r="M105" s="9" t="str">
        <f t="shared" si="8"/>
        <v>Pass</v>
      </c>
      <c r="N105" s="12" t="str">
        <f t="shared" si="9"/>
        <v>C</v>
      </c>
    </row>
    <row r="106" spans="1:14" x14ac:dyDescent="0.35">
      <c r="A106" s="1">
        <v>105</v>
      </c>
      <c r="B106" s="1" t="s">
        <v>118</v>
      </c>
      <c r="C106" s="1" t="s">
        <v>13</v>
      </c>
      <c r="D106" s="1">
        <v>13</v>
      </c>
      <c r="E106" s="1" t="s">
        <v>14</v>
      </c>
      <c r="F106" s="1">
        <v>68</v>
      </c>
      <c r="G106" s="1">
        <v>97</v>
      </c>
      <c r="H106" s="1">
        <v>31</v>
      </c>
      <c r="I106" s="1">
        <v>48</v>
      </c>
      <c r="J106" s="2">
        <f t="shared" si="5"/>
        <v>244</v>
      </c>
      <c r="K106" s="6">
        <f t="shared" si="6"/>
        <v>61</v>
      </c>
      <c r="L106" s="8">
        <f t="shared" si="7"/>
        <v>61</v>
      </c>
      <c r="M106" s="9" t="str">
        <f t="shared" si="8"/>
        <v>Fail</v>
      </c>
      <c r="N106" s="12" t="str">
        <f t="shared" si="9"/>
        <v>B</v>
      </c>
    </row>
    <row r="107" spans="1:14" x14ac:dyDescent="0.35">
      <c r="A107" s="1">
        <v>106</v>
      </c>
      <c r="B107" s="1" t="s">
        <v>119</v>
      </c>
      <c r="C107" s="1" t="s">
        <v>10</v>
      </c>
      <c r="D107" s="1">
        <v>14</v>
      </c>
      <c r="E107" s="1" t="s">
        <v>11</v>
      </c>
      <c r="F107" s="1">
        <v>62</v>
      </c>
      <c r="G107" s="1">
        <v>4</v>
      </c>
      <c r="H107" s="1">
        <v>75</v>
      </c>
      <c r="I107" s="1">
        <v>32</v>
      </c>
      <c r="J107" s="2">
        <f t="shared" si="5"/>
        <v>173</v>
      </c>
      <c r="K107" s="6">
        <f t="shared" si="6"/>
        <v>43.25</v>
      </c>
      <c r="L107" s="8">
        <f t="shared" si="7"/>
        <v>43.25</v>
      </c>
      <c r="M107" s="9" t="str">
        <f t="shared" si="8"/>
        <v>Fail</v>
      </c>
      <c r="N107" s="12" t="str">
        <f t="shared" si="9"/>
        <v>D</v>
      </c>
    </row>
    <row r="108" spans="1:14" x14ac:dyDescent="0.35">
      <c r="A108" s="1">
        <v>107</v>
      </c>
      <c r="B108" s="1" t="s">
        <v>120</v>
      </c>
      <c r="C108" s="1" t="s">
        <v>10</v>
      </c>
      <c r="D108" s="1">
        <v>14</v>
      </c>
      <c r="E108" s="1" t="s">
        <v>11</v>
      </c>
      <c r="F108" s="1">
        <v>57</v>
      </c>
      <c r="G108" s="1">
        <v>68</v>
      </c>
      <c r="H108" s="1">
        <v>13</v>
      </c>
      <c r="I108" s="1">
        <v>74</v>
      </c>
      <c r="J108" s="2">
        <f t="shared" si="5"/>
        <v>212</v>
      </c>
      <c r="K108" s="6">
        <f t="shared" si="6"/>
        <v>53</v>
      </c>
      <c r="L108" s="8">
        <f t="shared" si="7"/>
        <v>53</v>
      </c>
      <c r="M108" s="9" t="str">
        <f t="shared" si="8"/>
        <v>Fail</v>
      </c>
      <c r="N108" s="12" t="str">
        <f t="shared" si="9"/>
        <v>C</v>
      </c>
    </row>
    <row r="109" spans="1:14" x14ac:dyDescent="0.35">
      <c r="A109" s="1">
        <v>108</v>
      </c>
      <c r="B109" s="1" t="s">
        <v>121</v>
      </c>
      <c r="C109" s="1" t="s">
        <v>10</v>
      </c>
      <c r="D109" s="1">
        <v>14</v>
      </c>
      <c r="E109" s="1" t="s">
        <v>14</v>
      </c>
      <c r="F109" s="1">
        <v>56</v>
      </c>
      <c r="G109" s="1">
        <v>75</v>
      </c>
      <c r="H109" s="1">
        <v>5</v>
      </c>
      <c r="I109" s="1">
        <v>40</v>
      </c>
      <c r="J109" s="2">
        <f t="shared" si="5"/>
        <v>176</v>
      </c>
      <c r="K109" s="6">
        <f t="shared" si="6"/>
        <v>44</v>
      </c>
      <c r="L109" s="8">
        <f t="shared" si="7"/>
        <v>44</v>
      </c>
      <c r="M109" s="9" t="str">
        <f t="shared" si="8"/>
        <v>Fail</v>
      </c>
      <c r="N109" s="12" t="str">
        <f t="shared" si="9"/>
        <v>D</v>
      </c>
    </row>
    <row r="110" spans="1:14" x14ac:dyDescent="0.35">
      <c r="A110" s="1">
        <v>109</v>
      </c>
      <c r="B110" s="1" t="s">
        <v>122</v>
      </c>
      <c r="C110" s="1" t="s">
        <v>13</v>
      </c>
      <c r="D110" s="1">
        <v>14</v>
      </c>
      <c r="E110" s="1" t="s">
        <v>11</v>
      </c>
      <c r="F110" s="1">
        <v>11</v>
      </c>
      <c r="G110" s="1">
        <v>30</v>
      </c>
      <c r="H110" s="1">
        <v>83</v>
      </c>
      <c r="I110" s="1">
        <v>17</v>
      </c>
      <c r="J110" s="2">
        <f t="shared" si="5"/>
        <v>141</v>
      </c>
      <c r="K110" s="6">
        <f t="shared" si="6"/>
        <v>35.25</v>
      </c>
      <c r="L110" s="8">
        <f t="shared" si="7"/>
        <v>35.25</v>
      </c>
      <c r="M110" s="9" t="str">
        <f t="shared" si="8"/>
        <v>Fail</v>
      </c>
      <c r="N110" s="12" t="str">
        <f t="shared" si="9"/>
        <v>D</v>
      </c>
    </row>
    <row r="111" spans="1:14" x14ac:dyDescent="0.35">
      <c r="A111" s="1">
        <v>110</v>
      </c>
      <c r="B111" s="1" t="s">
        <v>123</v>
      </c>
      <c r="C111" s="1" t="s">
        <v>10</v>
      </c>
      <c r="D111" s="1">
        <v>14</v>
      </c>
      <c r="E111" s="1" t="s">
        <v>14</v>
      </c>
      <c r="F111" s="1">
        <v>82</v>
      </c>
      <c r="G111" s="1">
        <v>54</v>
      </c>
      <c r="H111" s="1">
        <v>31</v>
      </c>
      <c r="I111" s="1">
        <v>18</v>
      </c>
      <c r="J111" s="2">
        <f t="shared" si="5"/>
        <v>185</v>
      </c>
      <c r="K111" s="6">
        <f t="shared" si="6"/>
        <v>46.25</v>
      </c>
      <c r="L111" s="8">
        <f t="shared" si="7"/>
        <v>46.25</v>
      </c>
      <c r="M111" s="9" t="str">
        <f t="shared" si="8"/>
        <v>Fail</v>
      </c>
      <c r="N111" s="12" t="str">
        <f t="shared" si="9"/>
        <v>D</v>
      </c>
    </row>
    <row r="112" spans="1:14" x14ac:dyDescent="0.35">
      <c r="A112" s="1">
        <v>111</v>
      </c>
      <c r="B112" s="1" t="s">
        <v>124</v>
      </c>
      <c r="C112" s="1" t="s">
        <v>13</v>
      </c>
      <c r="D112" s="1">
        <v>13</v>
      </c>
      <c r="E112" s="1" t="s">
        <v>18</v>
      </c>
      <c r="F112" s="1">
        <v>2</v>
      </c>
      <c r="G112" s="1">
        <v>39</v>
      </c>
      <c r="H112" s="1">
        <v>13</v>
      </c>
      <c r="I112" s="1">
        <v>69</v>
      </c>
      <c r="J112" s="2">
        <f t="shared" si="5"/>
        <v>123</v>
      </c>
      <c r="K112" s="6">
        <f t="shared" si="6"/>
        <v>30.75</v>
      </c>
      <c r="L112" s="8">
        <f t="shared" si="7"/>
        <v>30.75</v>
      </c>
      <c r="M112" s="9" t="str">
        <f t="shared" si="8"/>
        <v>Fail</v>
      </c>
      <c r="N112" s="12" t="str">
        <f t="shared" si="9"/>
        <v>F</v>
      </c>
    </row>
    <row r="113" spans="1:14" x14ac:dyDescent="0.35">
      <c r="A113" s="1">
        <v>112</v>
      </c>
      <c r="B113" s="1" t="s">
        <v>125</v>
      </c>
      <c r="C113" s="1" t="s">
        <v>10</v>
      </c>
      <c r="D113" s="1">
        <v>15</v>
      </c>
      <c r="E113" s="1" t="s">
        <v>18</v>
      </c>
      <c r="F113" s="1">
        <v>23</v>
      </c>
      <c r="G113" s="1">
        <v>65</v>
      </c>
      <c r="H113" s="1">
        <v>72</v>
      </c>
      <c r="I113" s="1">
        <v>51</v>
      </c>
      <c r="J113" s="2">
        <f t="shared" si="5"/>
        <v>211</v>
      </c>
      <c r="K113" s="6">
        <f t="shared" si="6"/>
        <v>52.75</v>
      </c>
      <c r="L113" s="8">
        <f t="shared" si="7"/>
        <v>52.75</v>
      </c>
      <c r="M113" s="9" t="str">
        <f t="shared" si="8"/>
        <v>Fail</v>
      </c>
      <c r="N113" s="12" t="str">
        <f t="shared" si="9"/>
        <v>C</v>
      </c>
    </row>
    <row r="114" spans="1:14" x14ac:dyDescent="0.35">
      <c r="A114" s="1">
        <v>113</v>
      </c>
      <c r="B114" s="1" t="s">
        <v>126</v>
      </c>
      <c r="C114" s="1" t="s">
        <v>13</v>
      </c>
      <c r="D114" s="1">
        <v>13</v>
      </c>
      <c r="E114" s="1" t="s">
        <v>11</v>
      </c>
      <c r="F114" s="1">
        <v>22</v>
      </c>
      <c r="G114" s="1">
        <v>78</v>
      </c>
      <c r="H114" s="1">
        <v>77</v>
      </c>
      <c r="I114" s="1">
        <v>26</v>
      </c>
      <c r="J114" s="2">
        <f t="shared" si="5"/>
        <v>203</v>
      </c>
      <c r="K114" s="6">
        <f t="shared" si="6"/>
        <v>50.75</v>
      </c>
      <c r="L114" s="8">
        <f t="shared" si="7"/>
        <v>50.749999999999993</v>
      </c>
      <c r="M114" s="9" t="str">
        <f t="shared" si="8"/>
        <v>Fail</v>
      </c>
      <c r="N114" s="12" t="str">
        <f t="shared" si="9"/>
        <v>C</v>
      </c>
    </row>
    <row r="115" spans="1:14" x14ac:dyDescent="0.35">
      <c r="A115" s="1">
        <v>114</v>
      </c>
      <c r="B115" s="1" t="s">
        <v>127</v>
      </c>
      <c r="C115" s="1" t="s">
        <v>13</v>
      </c>
      <c r="D115" s="1">
        <v>14</v>
      </c>
      <c r="E115" s="1" t="s">
        <v>18</v>
      </c>
      <c r="F115" s="1">
        <v>41</v>
      </c>
      <c r="G115" s="1">
        <v>52</v>
      </c>
      <c r="H115" s="1">
        <v>29</v>
      </c>
      <c r="I115" s="1">
        <v>21</v>
      </c>
      <c r="J115" s="2">
        <f t="shared" si="5"/>
        <v>143</v>
      </c>
      <c r="K115" s="6">
        <f t="shared" si="6"/>
        <v>35.75</v>
      </c>
      <c r="L115" s="8">
        <f t="shared" si="7"/>
        <v>35.75</v>
      </c>
      <c r="M115" s="9" t="str">
        <f t="shared" si="8"/>
        <v>Fail</v>
      </c>
      <c r="N115" s="12" t="str">
        <f t="shared" si="9"/>
        <v>D</v>
      </c>
    </row>
    <row r="116" spans="1:14" x14ac:dyDescent="0.35">
      <c r="A116" s="1">
        <v>115</v>
      </c>
      <c r="B116" s="1" t="s">
        <v>128</v>
      </c>
      <c r="C116" s="1" t="s">
        <v>10</v>
      </c>
      <c r="D116" s="1">
        <v>13</v>
      </c>
      <c r="E116" s="1" t="s">
        <v>11</v>
      </c>
      <c r="F116" s="1">
        <v>23</v>
      </c>
      <c r="G116" s="1">
        <v>13</v>
      </c>
      <c r="H116" s="1">
        <v>28</v>
      </c>
      <c r="I116" s="1">
        <v>69</v>
      </c>
      <c r="J116" s="2">
        <f t="shared" si="5"/>
        <v>133</v>
      </c>
      <c r="K116" s="6">
        <f t="shared" si="6"/>
        <v>33.25</v>
      </c>
      <c r="L116" s="8">
        <f t="shared" si="7"/>
        <v>33.25</v>
      </c>
      <c r="M116" s="9" t="str">
        <f t="shared" si="8"/>
        <v>Fail</v>
      </c>
      <c r="N116" s="12" t="str">
        <f t="shared" si="9"/>
        <v>F</v>
      </c>
    </row>
    <row r="117" spans="1:14" x14ac:dyDescent="0.35">
      <c r="A117" s="1">
        <v>116</v>
      </c>
      <c r="B117" s="1" t="s">
        <v>129</v>
      </c>
      <c r="C117" s="1" t="s">
        <v>13</v>
      </c>
      <c r="D117" s="1">
        <v>14</v>
      </c>
      <c r="E117" s="1" t="s">
        <v>18</v>
      </c>
      <c r="F117" s="1">
        <v>80</v>
      </c>
      <c r="G117" s="1">
        <v>92</v>
      </c>
      <c r="H117" s="1">
        <v>53</v>
      </c>
      <c r="I117" s="1">
        <v>30</v>
      </c>
      <c r="J117" s="2">
        <f t="shared" si="5"/>
        <v>255</v>
      </c>
      <c r="K117" s="6">
        <f t="shared" si="6"/>
        <v>63.75</v>
      </c>
      <c r="L117" s="8">
        <f t="shared" si="7"/>
        <v>63.749999999999993</v>
      </c>
      <c r="M117" s="9" t="str">
        <f t="shared" si="8"/>
        <v>Fail</v>
      </c>
      <c r="N117" s="12" t="str">
        <f t="shared" si="9"/>
        <v>B</v>
      </c>
    </row>
    <row r="118" spans="1:14" x14ac:dyDescent="0.35">
      <c r="A118" s="1">
        <v>117</v>
      </c>
      <c r="B118" s="1" t="s">
        <v>130</v>
      </c>
      <c r="C118" s="1" t="s">
        <v>13</v>
      </c>
      <c r="D118" s="1">
        <v>14</v>
      </c>
      <c r="E118" s="1" t="s">
        <v>18</v>
      </c>
      <c r="F118" s="1">
        <v>63</v>
      </c>
      <c r="G118" s="1">
        <v>74</v>
      </c>
      <c r="H118" s="1">
        <v>46</v>
      </c>
      <c r="I118" s="1">
        <v>76</v>
      </c>
      <c r="J118" s="2">
        <f t="shared" si="5"/>
        <v>259</v>
      </c>
      <c r="K118" s="6">
        <f t="shared" si="6"/>
        <v>64.75</v>
      </c>
      <c r="L118" s="8">
        <f t="shared" si="7"/>
        <v>64.75</v>
      </c>
      <c r="M118" s="9" t="str">
        <f t="shared" si="8"/>
        <v>Pass</v>
      </c>
      <c r="N118" s="12" t="str">
        <f t="shared" si="9"/>
        <v>B</v>
      </c>
    </row>
    <row r="119" spans="1:14" x14ac:dyDescent="0.35">
      <c r="A119" s="1">
        <v>118</v>
      </c>
      <c r="B119" s="1" t="s">
        <v>131</v>
      </c>
      <c r="C119" s="1" t="s">
        <v>10</v>
      </c>
      <c r="D119" s="1">
        <v>14</v>
      </c>
      <c r="E119" s="1" t="s">
        <v>14</v>
      </c>
      <c r="F119" s="1">
        <v>90</v>
      </c>
      <c r="G119" s="1">
        <v>22</v>
      </c>
      <c r="H119" s="1">
        <v>2</v>
      </c>
      <c r="I119" s="1">
        <v>12</v>
      </c>
      <c r="J119" s="2">
        <f t="shared" si="5"/>
        <v>126</v>
      </c>
      <c r="K119" s="6">
        <f t="shared" si="6"/>
        <v>31.5</v>
      </c>
      <c r="L119" s="8">
        <f t="shared" si="7"/>
        <v>31.5</v>
      </c>
      <c r="M119" s="9" t="str">
        <f t="shared" si="8"/>
        <v>Fail</v>
      </c>
      <c r="N119" s="12" t="str">
        <f t="shared" si="9"/>
        <v>F</v>
      </c>
    </row>
    <row r="120" spans="1:14" x14ac:dyDescent="0.35">
      <c r="A120" s="1">
        <v>119</v>
      </c>
      <c r="B120" s="1" t="s">
        <v>132</v>
      </c>
      <c r="C120" s="1" t="s">
        <v>10</v>
      </c>
      <c r="D120" s="1">
        <v>13</v>
      </c>
      <c r="E120" s="1" t="s">
        <v>11</v>
      </c>
      <c r="F120" s="1">
        <v>2</v>
      </c>
      <c r="G120" s="1">
        <v>60</v>
      </c>
      <c r="H120" s="1">
        <v>67</v>
      </c>
      <c r="I120" s="1">
        <v>29</v>
      </c>
      <c r="J120" s="2">
        <f t="shared" si="5"/>
        <v>158</v>
      </c>
      <c r="K120" s="6">
        <f t="shared" si="6"/>
        <v>39.5</v>
      </c>
      <c r="L120" s="8">
        <f t="shared" si="7"/>
        <v>39.5</v>
      </c>
      <c r="M120" s="9" t="str">
        <f t="shared" si="8"/>
        <v>Fail</v>
      </c>
      <c r="N120" s="12" t="str">
        <f t="shared" si="9"/>
        <v>D</v>
      </c>
    </row>
    <row r="121" spans="1:14" x14ac:dyDescent="0.35">
      <c r="A121" s="1">
        <v>120</v>
      </c>
      <c r="B121" s="1" t="s">
        <v>133</v>
      </c>
      <c r="C121" s="1" t="s">
        <v>13</v>
      </c>
      <c r="D121" s="1">
        <v>14</v>
      </c>
      <c r="E121" s="1" t="s">
        <v>18</v>
      </c>
      <c r="F121" s="1">
        <v>80</v>
      </c>
      <c r="G121" s="1">
        <v>34</v>
      </c>
      <c r="H121" s="1">
        <v>85</v>
      </c>
      <c r="I121" s="1">
        <v>71</v>
      </c>
      <c r="J121" s="2">
        <f t="shared" si="5"/>
        <v>270</v>
      </c>
      <c r="K121" s="6">
        <f t="shared" si="6"/>
        <v>67.5</v>
      </c>
      <c r="L121" s="8">
        <f t="shared" si="7"/>
        <v>67.5</v>
      </c>
      <c r="M121" s="9" t="str">
        <f t="shared" si="8"/>
        <v>Fail</v>
      </c>
      <c r="N121" s="12" t="str">
        <f t="shared" si="9"/>
        <v>B</v>
      </c>
    </row>
    <row r="122" spans="1:14" x14ac:dyDescent="0.35">
      <c r="A122" s="1">
        <v>121</v>
      </c>
      <c r="B122" s="1" t="s">
        <v>134</v>
      </c>
      <c r="C122" s="1" t="s">
        <v>13</v>
      </c>
      <c r="D122" s="1">
        <v>13</v>
      </c>
      <c r="E122" s="1" t="s">
        <v>18</v>
      </c>
      <c r="F122" s="1">
        <v>79</v>
      </c>
      <c r="G122" s="1">
        <v>88</v>
      </c>
      <c r="H122" s="1">
        <v>96</v>
      </c>
      <c r="I122" s="1">
        <v>93</v>
      </c>
      <c r="J122" s="2">
        <f t="shared" si="5"/>
        <v>356</v>
      </c>
      <c r="K122" s="6">
        <f t="shared" si="6"/>
        <v>89</v>
      </c>
      <c r="L122" s="8">
        <f t="shared" si="7"/>
        <v>89</v>
      </c>
      <c r="M122" s="9" t="str">
        <f t="shared" si="8"/>
        <v>Pass</v>
      </c>
      <c r="N122" s="12" t="str">
        <f t="shared" si="9"/>
        <v>A</v>
      </c>
    </row>
    <row r="123" spans="1:14" x14ac:dyDescent="0.35">
      <c r="A123" s="1">
        <v>122</v>
      </c>
      <c r="B123" s="1" t="s">
        <v>135</v>
      </c>
      <c r="C123" s="1" t="s">
        <v>13</v>
      </c>
      <c r="D123" s="1">
        <v>14</v>
      </c>
      <c r="E123" s="1" t="s">
        <v>11</v>
      </c>
      <c r="F123" s="1">
        <v>4</v>
      </c>
      <c r="G123" s="1">
        <v>37</v>
      </c>
      <c r="H123" s="1">
        <v>50</v>
      </c>
      <c r="I123" s="1">
        <v>47</v>
      </c>
      <c r="J123" s="2">
        <f t="shared" si="5"/>
        <v>138</v>
      </c>
      <c r="K123" s="6">
        <f t="shared" si="6"/>
        <v>34.5</v>
      </c>
      <c r="L123" s="8">
        <f t="shared" si="7"/>
        <v>34.5</v>
      </c>
      <c r="M123" s="9" t="str">
        <f t="shared" si="8"/>
        <v>Fail</v>
      </c>
      <c r="N123" s="12" t="str">
        <f t="shared" si="9"/>
        <v>F</v>
      </c>
    </row>
    <row r="124" spans="1:14" x14ac:dyDescent="0.35">
      <c r="A124" s="1">
        <v>123</v>
      </c>
      <c r="B124" s="1" t="s">
        <v>136</v>
      </c>
      <c r="C124" s="1" t="s">
        <v>13</v>
      </c>
      <c r="D124" s="1">
        <v>13</v>
      </c>
      <c r="E124" s="1" t="s">
        <v>18</v>
      </c>
      <c r="F124" s="1">
        <v>18</v>
      </c>
      <c r="G124" s="1">
        <v>100</v>
      </c>
      <c r="H124" s="1">
        <v>39</v>
      </c>
      <c r="I124" s="1">
        <v>8</v>
      </c>
      <c r="J124" s="2">
        <f t="shared" si="5"/>
        <v>165</v>
      </c>
      <c r="K124" s="6">
        <f t="shared" si="6"/>
        <v>41.25</v>
      </c>
      <c r="L124" s="8">
        <f t="shared" si="7"/>
        <v>41.25</v>
      </c>
      <c r="M124" s="9" t="str">
        <f t="shared" si="8"/>
        <v>Fail</v>
      </c>
      <c r="N124" s="12" t="str">
        <f t="shared" si="9"/>
        <v>D</v>
      </c>
    </row>
    <row r="125" spans="1:14" x14ac:dyDescent="0.35">
      <c r="A125" s="1">
        <v>124</v>
      </c>
      <c r="B125" s="1" t="s">
        <v>137</v>
      </c>
      <c r="C125" s="1" t="s">
        <v>10</v>
      </c>
      <c r="D125" s="1">
        <v>15</v>
      </c>
      <c r="E125" s="1" t="s">
        <v>14</v>
      </c>
      <c r="F125" s="1">
        <v>70</v>
      </c>
      <c r="G125" s="1">
        <v>75</v>
      </c>
      <c r="H125" s="1">
        <v>21</v>
      </c>
      <c r="I125" s="1">
        <v>99</v>
      </c>
      <c r="J125" s="2">
        <f t="shared" si="5"/>
        <v>265</v>
      </c>
      <c r="K125" s="6">
        <f t="shared" si="6"/>
        <v>66.25</v>
      </c>
      <c r="L125" s="8">
        <f t="shared" si="7"/>
        <v>66.25</v>
      </c>
      <c r="M125" s="9" t="str">
        <f t="shared" si="8"/>
        <v>Fail</v>
      </c>
      <c r="N125" s="12" t="str">
        <f t="shared" si="9"/>
        <v>B</v>
      </c>
    </row>
    <row r="126" spans="1:14" x14ac:dyDescent="0.35">
      <c r="A126" s="1">
        <v>125</v>
      </c>
      <c r="B126" s="1" t="s">
        <v>138</v>
      </c>
      <c r="C126" s="1" t="s">
        <v>13</v>
      </c>
      <c r="D126" s="1">
        <v>14</v>
      </c>
      <c r="E126" s="1" t="s">
        <v>14</v>
      </c>
      <c r="F126" s="1">
        <v>68</v>
      </c>
      <c r="G126" s="1">
        <v>20</v>
      </c>
      <c r="H126" s="1">
        <v>21</v>
      </c>
      <c r="I126" s="1">
        <v>81</v>
      </c>
      <c r="J126" s="2">
        <f t="shared" si="5"/>
        <v>190</v>
      </c>
      <c r="K126" s="6">
        <f t="shared" si="6"/>
        <v>47.5</v>
      </c>
      <c r="L126" s="8">
        <f t="shared" si="7"/>
        <v>47.5</v>
      </c>
      <c r="M126" s="9" t="str">
        <f t="shared" si="8"/>
        <v>Fail</v>
      </c>
      <c r="N126" s="12" t="str">
        <f t="shared" si="9"/>
        <v>D</v>
      </c>
    </row>
    <row r="127" spans="1:14" x14ac:dyDescent="0.35">
      <c r="A127" s="1">
        <v>126</v>
      </c>
      <c r="B127" s="1" t="s">
        <v>139</v>
      </c>
      <c r="C127" s="1" t="s">
        <v>13</v>
      </c>
      <c r="D127" s="1">
        <v>15</v>
      </c>
      <c r="E127" s="1" t="s">
        <v>18</v>
      </c>
      <c r="F127" s="1">
        <v>29</v>
      </c>
      <c r="G127" s="1">
        <v>6</v>
      </c>
      <c r="H127" s="1">
        <v>43</v>
      </c>
      <c r="I127" s="1">
        <v>85</v>
      </c>
      <c r="J127" s="2">
        <f t="shared" si="5"/>
        <v>163</v>
      </c>
      <c r="K127" s="6">
        <f t="shared" si="6"/>
        <v>40.75</v>
      </c>
      <c r="L127" s="8">
        <f t="shared" si="7"/>
        <v>40.75</v>
      </c>
      <c r="M127" s="9" t="str">
        <f t="shared" si="8"/>
        <v>Fail</v>
      </c>
      <c r="N127" s="12" t="str">
        <f t="shared" si="9"/>
        <v>D</v>
      </c>
    </row>
    <row r="128" spans="1:14" x14ac:dyDescent="0.35">
      <c r="A128" s="1">
        <v>127</v>
      </c>
      <c r="B128" s="1" t="s">
        <v>140</v>
      </c>
      <c r="C128" s="1" t="s">
        <v>13</v>
      </c>
      <c r="D128" s="1">
        <v>14</v>
      </c>
      <c r="E128" s="1" t="s">
        <v>14</v>
      </c>
      <c r="F128" s="1">
        <v>76</v>
      </c>
      <c r="G128" s="1">
        <v>36</v>
      </c>
      <c r="H128" s="1">
        <v>32</v>
      </c>
      <c r="I128" s="1">
        <v>47</v>
      </c>
      <c r="J128" s="2">
        <f t="shared" si="5"/>
        <v>191</v>
      </c>
      <c r="K128" s="6">
        <f t="shared" si="6"/>
        <v>47.75</v>
      </c>
      <c r="L128" s="8">
        <f t="shared" si="7"/>
        <v>47.75</v>
      </c>
      <c r="M128" s="9" t="str">
        <f t="shared" si="8"/>
        <v>Fail</v>
      </c>
      <c r="N128" s="12" t="str">
        <f t="shared" si="9"/>
        <v>D</v>
      </c>
    </row>
    <row r="129" spans="1:14" x14ac:dyDescent="0.35">
      <c r="A129" s="1">
        <v>128</v>
      </c>
      <c r="B129" s="1" t="s">
        <v>141</v>
      </c>
      <c r="C129" s="1" t="s">
        <v>10</v>
      </c>
      <c r="D129" s="1">
        <v>14</v>
      </c>
      <c r="E129" s="1" t="s">
        <v>11</v>
      </c>
      <c r="F129" s="1">
        <v>3</v>
      </c>
      <c r="G129" s="1">
        <v>31</v>
      </c>
      <c r="H129" s="1">
        <v>34</v>
      </c>
      <c r="I129" s="1">
        <v>45</v>
      </c>
      <c r="J129" s="2">
        <f t="shared" si="5"/>
        <v>113</v>
      </c>
      <c r="K129" s="6">
        <f t="shared" si="6"/>
        <v>28.25</v>
      </c>
      <c r="L129" s="8">
        <f t="shared" si="7"/>
        <v>28.249999999999996</v>
      </c>
      <c r="M129" s="9" t="str">
        <f t="shared" si="8"/>
        <v>Fail</v>
      </c>
      <c r="N129" s="12" t="str">
        <f t="shared" si="9"/>
        <v>F</v>
      </c>
    </row>
    <row r="130" spans="1:14" x14ac:dyDescent="0.35">
      <c r="A130" s="1">
        <v>129</v>
      </c>
      <c r="B130" s="1" t="s">
        <v>142</v>
      </c>
      <c r="C130" s="1" t="s">
        <v>10</v>
      </c>
      <c r="D130" s="1">
        <v>15</v>
      </c>
      <c r="E130" s="1" t="s">
        <v>14</v>
      </c>
      <c r="F130" s="1">
        <v>28</v>
      </c>
      <c r="G130" s="1">
        <v>94</v>
      </c>
      <c r="H130" s="1">
        <v>61</v>
      </c>
      <c r="I130" s="1">
        <v>72</v>
      </c>
      <c r="J130" s="2">
        <f t="shared" si="5"/>
        <v>255</v>
      </c>
      <c r="K130" s="6">
        <f t="shared" si="6"/>
        <v>63.75</v>
      </c>
      <c r="L130" s="8">
        <f t="shared" si="7"/>
        <v>63.749999999999993</v>
      </c>
      <c r="M130" s="9" t="str">
        <f t="shared" si="8"/>
        <v>Fail</v>
      </c>
      <c r="N130" s="12" t="str">
        <f t="shared" si="9"/>
        <v>B</v>
      </c>
    </row>
    <row r="131" spans="1:14" x14ac:dyDescent="0.35">
      <c r="A131" s="1">
        <v>130</v>
      </c>
      <c r="B131" s="1" t="s">
        <v>143</v>
      </c>
      <c r="C131" s="1" t="s">
        <v>10</v>
      </c>
      <c r="D131" s="1">
        <v>13</v>
      </c>
      <c r="E131" s="1" t="s">
        <v>18</v>
      </c>
      <c r="F131" s="1">
        <v>23</v>
      </c>
      <c r="G131" s="1">
        <v>88</v>
      </c>
      <c r="H131" s="1">
        <v>90</v>
      </c>
      <c r="I131" s="1">
        <v>68</v>
      </c>
      <c r="J131" s="2">
        <f t="shared" ref="J131:J194" si="10">SUM(E131:I131)</f>
        <v>269</v>
      </c>
      <c r="K131" s="6">
        <f t="shared" ref="K131:K194" si="11">AVERAGE(F131:I131)</f>
        <v>67.25</v>
      </c>
      <c r="L131" s="8">
        <f t="shared" ref="L131:L194" si="12">(J131/400)*100</f>
        <v>67.25</v>
      </c>
      <c r="M131" s="9" t="str">
        <f t="shared" ref="M131:M194" si="13">IF(AND(F131&gt;=35,G131&gt;=35,H131&gt;=35,I131&gt;=35),"Pass","Fail")</f>
        <v>Fail</v>
      </c>
      <c r="N131" s="12" t="str">
        <f t="shared" ref="N131:N194" si="14">IF(L131&gt;=75,"A",IF(L131&gt;=60,"B",IF(L131&gt;=50,"C",IF(L131&gt;=35,"D","F"))))</f>
        <v>B</v>
      </c>
    </row>
    <row r="132" spans="1:14" x14ac:dyDescent="0.35">
      <c r="A132" s="1">
        <v>131</v>
      </c>
      <c r="B132" s="1" t="s">
        <v>144</v>
      </c>
      <c r="C132" s="1" t="s">
        <v>10</v>
      </c>
      <c r="D132" s="1">
        <v>15</v>
      </c>
      <c r="E132" s="1" t="s">
        <v>14</v>
      </c>
      <c r="F132" s="1">
        <v>85</v>
      </c>
      <c r="G132" s="1">
        <v>30</v>
      </c>
      <c r="H132" s="1">
        <v>50</v>
      </c>
      <c r="I132" s="1">
        <v>2</v>
      </c>
      <c r="J132" s="2">
        <f t="shared" si="10"/>
        <v>167</v>
      </c>
      <c r="K132" s="6">
        <f t="shared" si="11"/>
        <v>41.75</v>
      </c>
      <c r="L132" s="8">
        <f t="shared" si="12"/>
        <v>41.75</v>
      </c>
      <c r="M132" s="9" t="str">
        <f t="shared" si="13"/>
        <v>Fail</v>
      </c>
      <c r="N132" s="12" t="str">
        <f t="shared" si="14"/>
        <v>D</v>
      </c>
    </row>
    <row r="133" spans="1:14" x14ac:dyDescent="0.35">
      <c r="A133" s="1">
        <v>132</v>
      </c>
      <c r="B133" s="1" t="s">
        <v>145</v>
      </c>
      <c r="C133" s="1" t="s">
        <v>13</v>
      </c>
      <c r="D133" s="1">
        <v>13</v>
      </c>
      <c r="E133" s="1" t="s">
        <v>11</v>
      </c>
      <c r="F133" s="1">
        <v>13</v>
      </c>
      <c r="G133" s="1">
        <v>73</v>
      </c>
      <c r="H133" s="1">
        <v>76</v>
      </c>
      <c r="I133" s="1">
        <v>95</v>
      </c>
      <c r="J133" s="2">
        <f t="shared" si="10"/>
        <v>257</v>
      </c>
      <c r="K133" s="6">
        <f t="shared" si="11"/>
        <v>64.25</v>
      </c>
      <c r="L133" s="8">
        <f t="shared" si="12"/>
        <v>64.25</v>
      </c>
      <c r="M133" s="9" t="str">
        <f t="shared" si="13"/>
        <v>Fail</v>
      </c>
      <c r="N133" s="12" t="str">
        <f t="shared" si="14"/>
        <v>B</v>
      </c>
    </row>
    <row r="134" spans="1:14" x14ac:dyDescent="0.35">
      <c r="A134" s="1">
        <v>133</v>
      </c>
      <c r="B134" s="1" t="s">
        <v>146</v>
      </c>
      <c r="C134" s="1" t="s">
        <v>13</v>
      </c>
      <c r="D134" s="1">
        <v>15</v>
      </c>
      <c r="E134" s="1" t="s">
        <v>18</v>
      </c>
      <c r="F134" s="1">
        <v>19</v>
      </c>
      <c r="G134" s="1">
        <v>14</v>
      </c>
      <c r="H134" s="1">
        <v>43</v>
      </c>
      <c r="I134" s="1">
        <v>68</v>
      </c>
      <c r="J134" s="2">
        <f t="shared" si="10"/>
        <v>144</v>
      </c>
      <c r="K134" s="6">
        <f t="shared" si="11"/>
        <v>36</v>
      </c>
      <c r="L134" s="8">
        <f t="shared" si="12"/>
        <v>36</v>
      </c>
      <c r="M134" s="9" t="str">
        <f t="shared" si="13"/>
        <v>Fail</v>
      </c>
      <c r="N134" s="12" t="str">
        <f t="shared" si="14"/>
        <v>D</v>
      </c>
    </row>
    <row r="135" spans="1:14" x14ac:dyDescent="0.35">
      <c r="A135" s="1">
        <v>134</v>
      </c>
      <c r="B135" s="1" t="s">
        <v>147</v>
      </c>
      <c r="C135" s="1" t="s">
        <v>10</v>
      </c>
      <c r="D135" s="1">
        <v>15</v>
      </c>
      <c r="E135" s="1" t="s">
        <v>11</v>
      </c>
      <c r="F135" s="1">
        <v>77</v>
      </c>
      <c r="G135" s="1">
        <v>25</v>
      </c>
      <c r="H135" s="1">
        <v>85</v>
      </c>
      <c r="I135" s="1">
        <v>26</v>
      </c>
      <c r="J135" s="2">
        <f t="shared" si="10"/>
        <v>213</v>
      </c>
      <c r="K135" s="6">
        <f t="shared" si="11"/>
        <v>53.25</v>
      </c>
      <c r="L135" s="8">
        <f t="shared" si="12"/>
        <v>53.25</v>
      </c>
      <c r="M135" s="9" t="str">
        <f t="shared" si="13"/>
        <v>Fail</v>
      </c>
      <c r="N135" s="12" t="str">
        <f t="shared" si="14"/>
        <v>C</v>
      </c>
    </row>
    <row r="136" spans="1:14" x14ac:dyDescent="0.35">
      <c r="A136" s="1">
        <v>135</v>
      </c>
      <c r="B136" s="1" t="s">
        <v>148</v>
      </c>
      <c r="C136" s="1" t="s">
        <v>10</v>
      </c>
      <c r="D136" s="1">
        <v>13</v>
      </c>
      <c r="E136" s="1" t="s">
        <v>14</v>
      </c>
      <c r="F136" s="1">
        <v>96</v>
      </c>
      <c r="G136" s="1">
        <v>100</v>
      </c>
      <c r="H136" s="1">
        <v>42</v>
      </c>
      <c r="I136" s="1">
        <v>62</v>
      </c>
      <c r="J136" s="2">
        <f t="shared" si="10"/>
        <v>300</v>
      </c>
      <c r="K136" s="6">
        <f t="shared" si="11"/>
        <v>75</v>
      </c>
      <c r="L136" s="8">
        <f t="shared" si="12"/>
        <v>75</v>
      </c>
      <c r="M136" s="9" t="str">
        <f t="shared" si="13"/>
        <v>Pass</v>
      </c>
      <c r="N136" s="12" t="str">
        <f t="shared" si="14"/>
        <v>A</v>
      </c>
    </row>
    <row r="137" spans="1:14" x14ac:dyDescent="0.35">
      <c r="A137" s="1">
        <v>136</v>
      </c>
      <c r="B137" s="1" t="s">
        <v>149</v>
      </c>
      <c r="C137" s="1" t="s">
        <v>10</v>
      </c>
      <c r="D137" s="1">
        <v>13</v>
      </c>
      <c r="E137" s="1" t="s">
        <v>11</v>
      </c>
      <c r="F137" s="1">
        <v>5</v>
      </c>
      <c r="G137" s="1">
        <v>10</v>
      </c>
      <c r="H137" s="1">
        <v>75</v>
      </c>
      <c r="I137" s="1">
        <v>38</v>
      </c>
      <c r="J137" s="2">
        <f t="shared" si="10"/>
        <v>128</v>
      </c>
      <c r="K137" s="6">
        <f t="shared" si="11"/>
        <v>32</v>
      </c>
      <c r="L137" s="8">
        <f t="shared" si="12"/>
        <v>32</v>
      </c>
      <c r="M137" s="9" t="str">
        <f t="shared" si="13"/>
        <v>Fail</v>
      </c>
      <c r="N137" s="12" t="str">
        <f t="shared" si="14"/>
        <v>F</v>
      </c>
    </row>
    <row r="138" spans="1:14" x14ac:dyDescent="0.35">
      <c r="A138" s="1">
        <v>137</v>
      </c>
      <c r="B138" s="1" t="s">
        <v>150</v>
      </c>
      <c r="C138" s="1" t="s">
        <v>10</v>
      </c>
      <c r="D138" s="1">
        <v>15</v>
      </c>
      <c r="E138" s="1" t="s">
        <v>11</v>
      </c>
      <c r="F138" s="1">
        <v>52</v>
      </c>
      <c r="G138" s="1">
        <v>39</v>
      </c>
      <c r="H138" s="1">
        <v>37</v>
      </c>
      <c r="I138" s="1">
        <v>3</v>
      </c>
      <c r="J138" s="2">
        <f t="shared" si="10"/>
        <v>131</v>
      </c>
      <c r="K138" s="6">
        <f t="shared" si="11"/>
        <v>32.75</v>
      </c>
      <c r="L138" s="8">
        <f t="shared" si="12"/>
        <v>32.75</v>
      </c>
      <c r="M138" s="9" t="str">
        <f t="shared" si="13"/>
        <v>Fail</v>
      </c>
      <c r="N138" s="12" t="str">
        <f t="shared" si="14"/>
        <v>F</v>
      </c>
    </row>
    <row r="139" spans="1:14" x14ac:dyDescent="0.35">
      <c r="A139" s="1">
        <v>138</v>
      </c>
      <c r="B139" s="1" t="s">
        <v>151</v>
      </c>
      <c r="C139" s="1" t="s">
        <v>13</v>
      </c>
      <c r="D139" s="1">
        <v>13</v>
      </c>
      <c r="E139" s="1" t="s">
        <v>11</v>
      </c>
      <c r="F139" s="1">
        <v>10</v>
      </c>
      <c r="G139" s="1">
        <v>29</v>
      </c>
      <c r="H139" s="1">
        <v>21</v>
      </c>
      <c r="I139" s="1">
        <v>13</v>
      </c>
      <c r="J139" s="2">
        <f t="shared" si="10"/>
        <v>73</v>
      </c>
      <c r="K139" s="6">
        <f t="shared" si="11"/>
        <v>18.25</v>
      </c>
      <c r="L139" s="8">
        <f t="shared" si="12"/>
        <v>18.25</v>
      </c>
      <c r="M139" s="9" t="str">
        <f t="shared" si="13"/>
        <v>Fail</v>
      </c>
      <c r="N139" s="12" t="str">
        <f t="shared" si="14"/>
        <v>F</v>
      </c>
    </row>
    <row r="140" spans="1:14" x14ac:dyDescent="0.35">
      <c r="A140" s="1">
        <v>139</v>
      </c>
      <c r="B140" s="1" t="s">
        <v>152</v>
      </c>
      <c r="C140" s="1" t="s">
        <v>13</v>
      </c>
      <c r="D140" s="1">
        <v>13</v>
      </c>
      <c r="E140" s="1" t="s">
        <v>14</v>
      </c>
      <c r="F140" s="1">
        <v>52</v>
      </c>
      <c r="G140" s="1">
        <v>62</v>
      </c>
      <c r="H140" s="1">
        <v>44</v>
      </c>
      <c r="I140" s="1">
        <v>10</v>
      </c>
      <c r="J140" s="2">
        <f t="shared" si="10"/>
        <v>168</v>
      </c>
      <c r="K140" s="6">
        <f t="shared" si="11"/>
        <v>42</v>
      </c>
      <c r="L140" s="8">
        <f t="shared" si="12"/>
        <v>42</v>
      </c>
      <c r="M140" s="9" t="str">
        <f t="shared" si="13"/>
        <v>Fail</v>
      </c>
      <c r="N140" s="12" t="str">
        <f t="shared" si="14"/>
        <v>D</v>
      </c>
    </row>
    <row r="141" spans="1:14" x14ac:dyDescent="0.35">
      <c r="A141" s="1">
        <v>140</v>
      </c>
      <c r="B141" s="1" t="s">
        <v>153</v>
      </c>
      <c r="C141" s="1" t="s">
        <v>10</v>
      </c>
      <c r="D141" s="1">
        <v>13</v>
      </c>
      <c r="E141" s="1" t="s">
        <v>14</v>
      </c>
      <c r="F141" s="1">
        <v>21</v>
      </c>
      <c r="G141" s="1">
        <v>65</v>
      </c>
      <c r="H141" s="1">
        <v>90</v>
      </c>
      <c r="I141" s="1">
        <v>4</v>
      </c>
      <c r="J141" s="2">
        <f t="shared" si="10"/>
        <v>180</v>
      </c>
      <c r="K141" s="6">
        <f t="shared" si="11"/>
        <v>45</v>
      </c>
      <c r="L141" s="8">
        <f t="shared" si="12"/>
        <v>45</v>
      </c>
      <c r="M141" s="9" t="str">
        <f t="shared" si="13"/>
        <v>Fail</v>
      </c>
      <c r="N141" s="12" t="str">
        <f t="shared" si="14"/>
        <v>D</v>
      </c>
    </row>
    <row r="142" spans="1:14" x14ac:dyDescent="0.35">
      <c r="A142" s="1">
        <v>141</v>
      </c>
      <c r="B142" s="1" t="s">
        <v>154</v>
      </c>
      <c r="C142" s="1" t="s">
        <v>13</v>
      </c>
      <c r="D142" s="1">
        <v>15</v>
      </c>
      <c r="E142" s="1" t="s">
        <v>11</v>
      </c>
      <c r="F142" s="1">
        <v>52</v>
      </c>
      <c r="G142" s="1">
        <v>30</v>
      </c>
      <c r="H142" s="1">
        <v>14</v>
      </c>
      <c r="I142" s="1">
        <v>24</v>
      </c>
      <c r="J142" s="2">
        <f t="shared" si="10"/>
        <v>120</v>
      </c>
      <c r="K142" s="6">
        <f t="shared" si="11"/>
        <v>30</v>
      </c>
      <c r="L142" s="8">
        <f t="shared" si="12"/>
        <v>30</v>
      </c>
      <c r="M142" s="9" t="str">
        <f t="shared" si="13"/>
        <v>Fail</v>
      </c>
      <c r="N142" s="12" t="str">
        <f t="shared" si="14"/>
        <v>F</v>
      </c>
    </row>
    <row r="143" spans="1:14" x14ac:dyDescent="0.35">
      <c r="A143" s="1">
        <v>142</v>
      </c>
      <c r="B143" s="1" t="s">
        <v>155</v>
      </c>
      <c r="C143" s="1" t="s">
        <v>10</v>
      </c>
      <c r="D143" s="1">
        <v>14</v>
      </c>
      <c r="E143" s="1" t="s">
        <v>14</v>
      </c>
      <c r="F143" s="1">
        <v>77</v>
      </c>
      <c r="G143" s="1">
        <v>79</v>
      </c>
      <c r="H143" s="1">
        <v>92</v>
      </c>
      <c r="I143" s="1">
        <v>36</v>
      </c>
      <c r="J143" s="2">
        <f t="shared" si="10"/>
        <v>284</v>
      </c>
      <c r="K143" s="6">
        <f t="shared" si="11"/>
        <v>71</v>
      </c>
      <c r="L143" s="8">
        <f t="shared" si="12"/>
        <v>71</v>
      </c>
      <c r="M143" s="9" t="str">
        <f t="shared" si="13"/>
        <v>Pass</v>
      </c>
      <c r="N143" s="12" t="str">
        <f t="shared" si="14"/>
        <v>B</v>
      </c>
    </row>
    <row r="144" spans="1:14" x14ac:dyDescent="0.35">
      <c r="A144" s="1">
        <v>143</v>
      </c>
      <c r="B144" s="1" t="s">
        <v>156</v>
      </c>
      <c r="C144" s="1" t="s">
        <v>13</v>
      </c>
      <c r="D144" s="1">
        <v>13</v>
      </c>
      <c r="E144" s="1" t="s">
        <v>14</v>
      </c>
      <c r="F144" s="1">
        <v>5</v>
      </c>
      <c r="G144" s="1">
        <v>3</v>
      </c>
      <c r="H144" s="1">
        <v>97</v>
      </c>
      <c r="I144" s="1">
        <v>84</v>
      </c>
      <c r="J144" s="2">
        <f t="shared" si="10"/>
        <v>189</v>
      </c>
      <c r="K144" s="6">
        <f t="shared" si="11"/>
        <v>47.25</v>
      </c>
      <c r="L144" s="8">
        <f t="shared" si="12"/>
        <v>47.25</v>
      </c>
      <c r="M144" s="9" t="str">
        <f t="shared" si="13"/>
        <v>Fail</v>
      </c>
      <c r="N144" s="12" t="str">
        <f t="shared" si="14"/>
        <v>D</v>
      </c>
    </row>
    <row r="145" spans="1:14" x14ac:dyDescent="0.35">
      <c r="A145" s="1">
        <v>144</v>
      </c>
      <c r="B145" s="1" t="s">
        <v>157</v>
      </c>
      <c r="C145" s="1" t="s">
        <v>10</v>
      </c>
      <c r="D145" s="1">
        <v>13</v>
      </c>
      <c r="E145" s="1" t="s">
        <v>11</v>
      </c>
      <c r="F145" s="1">
        <v>63</v>
      </c>
      <c r="G145" s="1">
        <v>12</v>
      </c>
      <c r="H145" s="1">
        <v>69</v>
      </c>
      <c r="I145" s="1">
        <v>41</v>
      </c>
      <c r="J145" s="2">
        <f t="shared" si="10"/>
        <v>185</v>
      </c>
      <c r="K145" s="6">
        <f t="shared" si="11"/>
        <v>46.25</v>
      </c>
      <c r="L145" s="8">
        <f t="shared" si="12"/>
        <v>46.25</v>
      </c>
      <c r="M145" s="9" t="str">
        <f t="shared" si="13"/>
        <v>Fail</v>
      </c>
      <c r="N145" s="12" t="str">
        <f t="shared" si="14"/>
        <v>D</v>
      </c>
    </row>
    <row r="146" spans="1:14" x14ac:dyDescent="0.35">
      <c r="A146" s="1">
        <v>145</v>
      </c>
      <c r="B146" s="1" t="s">
        <v>158</v>
      </c>
      <c r="C146" s="1" t="s">
        <v>13</v>
      </c>
      <c r="D146" s="1">
        <v>15</v>
      </c>
      <c r="E146" s="1" t="s">
        <v>18</v>
      </c>
      <c r="F146" s="1">
        <v>76</v>
      </c>
      <c r="G146" s="1">
        <v>53</v>
      </c>
      <c r="H146" s="1">
        <v>32</v>
      </c>
      <c r="I146" s="1">
        <v>69</v>
      </c>
      <c r="J146" s="2">
        <f t="shared" si="10"/>
        <v>230</v>
      </c>
      <c r="K146" s="6">
        <f t="shared" si="11"/>
        <v>57.5</v>
      </c>
      <c r="L146" s="8">
        <f t="shared" si="12"/>
        <v>57.499999999999993</v>
      </c>
      <c r="M146" s="9" t="str">
        <f t="shared" si="13"/>
        <v>Fail</v>
      </c>
      <c r="N146" s="12" t="str">
        <f t="shared" si="14"/>
        <v>C</v>
      </c>
    </row>
    <row r="147" spans="1:14" x14ac:dyDescent="0.35">
      <c r="A147" s="1">
        <v>146</v>
      </c>
      <c r="B147" s="1" t="s">
        <v>98</v>
      </c>
      <c r="C147" s="1" t="s">
        <v>10</v>
      </c>
      <c r="D147" s="1">
        <v>15</v>
      </c>
      <c r="E147" s="1" t="s">
        <v>14</v>
      </c>
      <c r="F147" s="1">
        <v>43</v>
      </c>
      <c r="G147" s="1">
        <v>4</v>
      </c>
      <c r="H147" s="1">
        <v>40</v>
      </c>
      <c r="I147" s="1">
        <v>93</v>
      </c>
      <c r="J147" s="2">
        <f t="shared" si="10"/>
        <v>180</v>
      </c>
      <c r="K147" s="6">
        <f t="shared" si="11"/>
        <v>45</v>
      </c>
      <c r="L147" s="8">
        <f t="shared" si="12"/>
        <v>45</v>
      </c>
      <c r="M147" s="9" t="str">
        <f t="shared" si="13"/>
        <v>Fail</v>
      </c>
      <c r="N147" s="12" t="str">
        <f t="shared" si="14"/>
        <v>D</v>
      </c>
    </row>
    <row r="148" spans="1:14" x14ac:dyDescent="0.35">
      <c r="A148" s="1">
        <v>147</v>
      </c>
      <c r="B148" s="1" t="s">
        <v>159</v>
      </c>
      <c r="C148" s="1" t="s">
        <v>13</v>
      </c>
      <c r="D148" s="1">
        <v>15</v>
      </c>
      <c r="E148" s="1" t="s">
        <v>11</v>
      </c>
      <c r="F148" s="1">
        <v>33</v>
      </c>
      <c r="G148" s="1">
        <v>75</v>
      </c>
      <c r="H148" s="1">
        <v>98</v>
      </c>
      <c r="I148" s="1">
        <v>84</v>
      </c>
      <c r="J148" s="2">
        <f t="shared" si="10"/>
        <v>290</v>
      </c>
      <c r="K148" s="6">
        <f t="shared" si="11"/>
        <v>72.5</v>
      </c>
      <c r="L148" s="8">
        <f t="shared" si="12"/>
        <v>72.5</v>
      </c>
      <c r="M148" s="9" t="str">
        <f t="shared" si="13"/>
        <v>Fail</v>
      </c>
      <c r="N148" s="12" t="str">
        <f t="shared" si="14"/>
        <v>B</v>
      </c>
    </row>
    <row r="149" spans="1:14" x14ac:dyDescent="0.35">
      <c r="A149" s="1">
        <v>148</v>
      </c>
      <c r="B149" s="1" t="s">
        <v>160</v>
      </c>
      <c r="C149" s="1" t="s">
        <v>10</v>
      </c>
      <c r="D149" s="1">
        <v>13</v>
      </c>
      <c r="E149" s="1" t="s">
        <v>14</v>
      </c>
      <c r="F149" s="1">
        <v>92</v>
      </c>
      <c r="G149" s="1">
        <v>67</v>
      </c>
      <c r="H149" s="1">
        <v>13</v>
      </c>
      <c r="I149" s="1">
        <v>25</v>
      </c>
      <c r="J149" s="2">
        <f t="shared" si="10"/>
        <v>197</v>
      </c>
      <c r="K149" s="6">
        <f t="shared" si="11"/>
        <v>49.25</v>
      </c>
      <c r="L149" s="8">
        <f t="shared" si="12"/>
        <v>49.25</v>
      </c>
      <c r="M149" s="9" t="str">
        <f t="shared" si="13"/>
        <v>Fail</v>
      </c>
      <c r="N149" s="12" t="str">
        <f t="shared" si="14"/>
        <v>D</v>
      </c>
    </row>
    <row r="150" spans="1:14" x14ac:dyDescent="0.35">
      <c r="A150" s="1">
        <v>149</v>
      </c>
      <c r="B150" s="1" t="s">
        <v>161</v>
      </c>
      <c r="C150" s="1" t="s">
        <v>10</v>
      </c>
      <c r="D150" s="1">
        <v>15</v>
      </c>
      <c r="E150" s="1" t="s">
        <v>11</v>
      </c>
      <c r="F150" s="1">
        <v>51</v>
      </c>
      <c r="G150" s="1">
        <v>67</v>
      </c>
      <c r="H150" s="1">
        <v>67</v>
      </c>
      <c r="I150" s="1">
        <v>91</v>
      </c>
      <c r="J150" s="2">
        <f t="shared" si="10"/>
        <v>276</v>
      </c>
      <c r="K150" s="6">
        <f t="shared" si="11"/>
        <v>69</v>
      </c>
      <c r="L150" s="8">
        <f t="shared" si="12"/>
        <v>69</v>
      </c>
      <c r="M150" s="9" t="str">
        <f t="shared" si="13"/>
        <v>Pass</v>
      </c>
      <c r="N150" s="12" t="str">
        <f t="shared" si="14"/>
        <v>B</v>
      </c>
    </row>
    <row r="151" spans="1:14" x14ac:dyDescent="0.35">
      <c r="A151" s="1">
        <v>150</v>
      </c>
      <c r="B151" s="1" t="s">
        <v>162</v>
      </c>
      <c r="C151" s="1" t="s">
        <v>10</v>
      </c>
      <c r="D151" s="1">
        <v>13</v>
      </c>
      <c r="E151" s="1" t="s">
        <v>14</v>
      </c>
      <c r="F151" s="1">
        <v>53</v>
      </c>
      <c r="G151" s="1">
        <v>95</v>
      </c>
      <c r="H151" s="1">
        <v>75</v>
      </c>
      <c r="I151" s="1">
        <v>81</v>
      </c>
      <c r="J151" s="2">
        <f t="shared" si="10"/>
        <v>304</v>
      </c>
      <c r="K151" s="6">
        <f t="shared" si="11"/>
        <v>76</v>
      </c>
      <c r="L151" s="8">
        <f t="shared" si="12"/>
        <v>76</v>
      </c>
      <c r="M151" s="9" t="str">
        <f t="shared" si="13"/>
        <v>Pass</v>
      </c>
      <c r="N151" s="12" t="str">
        <f t="shared" si="14"/>
        <v>A</v>
      </c>
    </row>
    <row r="152" spans="1:14" x14ac:dyDescent="0.35">
      <c r="A152" s="1">
        <v>151</v>
      </c>
      <c r="B152" s="1" t="s">
        <v>163</v>
      </c>
      <c r="C152" s="1" t="s">
        <v>13</v>
      </c>
      <c r="D152" s="1">
        <v>13</v>
      </c>
      <c r="E152" s="1" t="s">
        <v>18</v>
      </c>
      <c r="F152" s="1">
        <v>92</v>
      </c>
      <c r="G152" s="1">
        <v>97</v>
      </c>
      <c r="H152" s="1">
        <v>62</v>
      </c>
      <c r="I152" s="1">
        <v>69</v>
      </c>
      <c r="J152" s="2">
        <f t="shared" si="10"/>
        <v>320</v>
      </c>
      <c r="K152" s="6">
        <f t="shared" si="11"/>
        <v>80</v>
      </c>
      <c r="L152" s="8">
        <f t="shared" si="12"/>
        <v>80</v>
      </c>
      <c r="M152" s="9" t="str">
        <f t="shared" si="13"/>
        <v>Pass</v>
      </c>
      <c r="N152" s="12" t="str">
        <f t="shared" si="14"/>
        <v>A</v>
      </c>
    </row>
    <row r="153" spans="1:14" x14ac:dyDescent="0.35">
      <c r="A153" s="1">
        <v>152</v>
      </c>
      <c r="B153" s="1" t="s">
        <v>164</v>
      </c>
      <c r="C153" s="1" t="s">
        <v>10</v>
      </c>
      <c r="D153" s="1">
        <v>15</v>
      </c>
      <c r="E153" s="1" t="s">
        <v>18</v>
      </c>
      <c r="F153" s="1">
        <v>26</v>
      </c>
      <c r="G153" s="1">
        <v>76</v>
      </c>
      <c r="H153" s="1">
        <v>56</v>
      </c>
      <c r="I153" s="1">
        <v>75</v>
      </c>
      <c r="J153" s="2">
        <f t="shared" si="10"/>
        <v>233</v>
      </c>
      <c r="K153" s="6">
        <f t="shared" si="11"/>
        <v>58.25</v>
      </c>
      <c r="L153" s="8">
        <f t="shared" si="12"/>
        <v>58.25</v>
      </c>
      <c r="M153" s="9" t="str">
        <f t="shared" si="13"/>
        <v>Fail</v>
      </c>
      <c r="N153" s="12" t="str">
        <f t="shared" si="14"/>
        <v>C</v>
      </c>
    </row>
    <row r="154" spans="1:14" x14ac:dyDescent="0.35">
      <c r="A154" s="1">
        <v>153</v>
      </c>
      <c r="B154" s="1" t="s">
        <v>165</v>
      </c>
      <c r="C154" s="1" t="s">
        <v>13</v>
      </c>
      <c r="D154" s="1">
        <v>13</v>
      </c>
      <c r="E154" s="1" t="s">
        <v>18</v>
      </c>
      <c r="F154" s="1">
        <v>23</v>
      </c>
      <c r="G154" s="1">
        <v>41</v>
      </c>
      <c r="H154" s="1">
        <v>49</v>
      </c>
      <c r="I154" s="1">
        <v>79</v>
      </c>
      <c r="J154" s="2">
        <f t="shared" si="10"/>
        <v>192</v>
      </c>
      <c r="K154" s="6">
        <f t="shared" si="11"/>
        <v>48</v>
      </c>
      <c r="L154" s="8">
        <f t="shared" si="12"/>
        <v>48</v>
      </c>
      <c r="M154" s="9" t="str">
        <f t="shared" si="13"/>
        <v>Fail</v>
      </c>
      <c r="N154" s="12" t="str">
        <f t="shared" si="14"/>
        <v>D</v>
      </c>
    </row>
    <row r="155" spans="1:14" x14ac:dyDescent="0.35">
      <c r="A155" s="1">
        <v>154</v>
      </c>
      <c r="B155" s="1" t="s">
        <v>166</v>
      </c>
      <c r="C155" s="1" t="s">
        <v>10</v>
      </c>
      <c r="D155" s="1">
        <v>14</v>
      </c>
      <c r="E155" s="1" t="s">
        <v>18</v>
      </c>
      <c r="F155" s="1">
        <v>47</v>
      </c>
      <c r="G155" s="1">
        <v>16</v>
      </c>
      <c r="H155" s="1">
        <v>55</v>
      </c>
      <c r="I155" s="1">
        <v>21</v>
      </c>
      <c r="J155" s="2">
        <f t="shared" si="10"/>
        <v>139</v>
      </c>
      <c r="K155" s="6">
        <f t="shared" si="11"/>
        <v>34.75</v>
      </c>
      <c r="L155" s="8">
        <f t="shared" si="12"/>
        <v>34.75</v>
      </c>
      <c r="M155" s="9" t="str">
        <f t="shared" si="13"/>
        <v>Fail</v>
      </c>
      <c r="N155" s="12" t="str">
        <f t="shared" si="14"/>
        <v>F</v>
      </c>
    </row>
    <row r="156" spans="1:14" x14ac:dyDescent="0.35">
      <c r="A156" s="1">
        <v>155</v>
      </c>
      <c r="B156" s="1" t="s">
        <v>167</v>
      </c>
      <c r="C156" s="1" t="s">
        <v>13</v>
      </c>
      <c r="D156" s="1">
        <v>14</v>
      </c>
      <c r="E156" s="1" t="s">
        <v>11</v>
      </c>
      <c r="F156" s="1">
        <v>32</v>
      </c>
      <c r="G156" s="1">
        <v>3</v>
      </c>
      <c r="H156" s="1">
        <v>69</v>
      </c>
      <c r="I156" s="1">
        <v>96</v>
      </c>
      <c r="J156" s="2">
        <f t="shared" si="10"/>
        <v>200</v>
      </c>
      <c r="K156" s="6">
        <f t="shared" si="11"/>
        <v>50</v>
      </c>
      <c r="L156" s="8">
        <f t="shared" si="12"/>
        <v>50</v>
      </c>
      <c r="M156" s="9" t="str">
        <f t="shared" si="13"/>
        <v>Fail</v>
      </c>
      <c r="N156" s="12" t="str">
        <f t="shared" si="14"/>
        <v>C</v>
      </c>
    </row>
    <row r="157" spans="1:14" x14ac:dyDescent="0.35">
      <c r="A157" s="1">
        <v>156</v>
      </c>
      <c r="B157" s="1" t="s">
        <v>168</v>
      </c>
      <c r="C157" s="1" t="s">
        <v>10</v>
      </c>
      <c r="D157" s="1">
        <v>13</v>
      </c>
      <c r="E157" s="1" t="s">
        <v>14</v>
      </c>
      <c r="F157" s="1">
        <v>55</v>
      </c>
      <c r="G157" s="1">
        <v>99</v>
      </c>
      <c r="H157" s="1">
        <v>8</v>
      </c>
      <c r="I157" s="1">
        <v>72</v>
      </c>
      <c r="J157" s="2">
        <f t="shared" si="10"/>
        <v>234</v>
      </c>
      <c r="K157" s="6">
        <f t="shared" si="11"/>
        <v>58.5</v>
      </c>
      <c r="L157" s="8">
        <f t="shared" si="12"/>
        <v>58.5</v>
      </c>
      <c r="M157" s="9" t="str">
        <f t="shared" si="13"/>
        <v>Fail</v>
      </c>
      <c r="N157" s="12" t="str">
        <f t="shared" si="14"/>
        <v>C</v>
      </c>
    </row>
    <row r="158" spans="1:14" x14ac:dyDescent="0.35">
      <c r="A158" s="1">
        <v>157</v>
      </c>
      <c r="B158" s="1" t="s">
        <v>169</v>
      </c>
      <c r="C158" s="1" t="s">
        <v>13</v>
      </c>
      <c r="D158" s="1">
        <v>15</v>
      </c>
      <c r="E158" s="1" t="s">
        <v>11</v>
      </c>
      <c r="F158" s="1">
        <v>67</v>
      </c>
      <c r="G158" s="1">
        <v>88</v>
      </c>
      <c r="H158" s="1">
        <v>41</v>
      </c>
      <c r="I158" s="1">
        <v>8</v>
      </c>
      <c r="J158" s="2">
        <f t="shared" si="10"/>
        <v>204</v>
      </c>
      <c r="K158" s="6">
        <f t="shared" si="11"/>
        <v>51</v>
      </c>
      <c r="L158" s="8">
        <f t="shared" si="12"/>
        <v>51</v>
      </c>
      <c r="M158" s="9" t="str">
        <f t="shared" si="13"/>
        <v>Fail</v>
      </c>
      <c r="N158" s="12" t="str">
        <f t="shared" si="14"/>
        <v>C</v>
      </c>
    </row>
    <row r="159" spans="1:14" x14ac:dyDescent="0.35">
      <c r="A159" s="1">
        <v>158</v>
      </c>
      <c r="B159" s="1" t="s">
        <v>170</v>
      </c>
      <c r="C159" s="1" t="s">
        <v>10</v>
      </c>
      <c r="D159" s="1">
        <v>13</v>
      </c>
      <c r="E159" s="1" t="s">
        <v>11</v>
      </c>
      <c r="F159" s="1">
        <v>72</v>
      </c>
      <c r="G159" s="1">
        <v>24</v>
      </c>
      <c r="H159" s="1">
        <v>83</v>
      </c>
      <c r="I159" s="1">
        <v>62</v>
      </c>
      <c r="J159" s="2">
        <f t="shared" si="10"/>
        <v>241</v>
      </c>
      <c r="K159" s="6">
        <f t="shared" si="11"/>
        <v>60.25</v>
      </c>
      <c r="L159" s="8">
        <f t="shared" si="12"/>
        <v>60.25</v>
      </c>
      <c r="M159" s="9" t="str">
        <f t="shared" si="13"/>
        <v>Fail</v>
      </c>
      <c r="N159" s="12" t="str">
        <f t="shared" si="14"/>
        <v>B</v>
      </c>
    </row>
    <row r="160" spans="1:14" x14ac:dyDescent="0.35">
      <c r="A160" s="1">
        <v>159</v>
      </c>
      <c r="B160" s="1" t="s">
        <v>171</v>
      </c>
      <c r="C160" s="1" t="s">
        <v>13</v>
      </c>
      <c r="D160" s="1">
        <v>14</v>
      </c>
      <c r="E160" s="1" t="s">
        <v>18</v>
      </c>
      <c r="F160" s="1">
        <v>73</v>
      </c>
      <c r="G160" s="1">
        <v>71</v>
      </c>
      <c r="H160" s="1">
        <v>87</v>
      </c>
      <c r="I160" s="1">
        <v>30</v>
      </c>
      <c r="J160" s="2">
        <f t="shared" si="10"/>
        <v>261</v>
      </c>
      <c r="K160" s="6">
        <f t="shared" si="11"/>
        <v>65.25</v>
      </c>
      <c r="L160" s="8">
        <f t="shared" si="12"/>
        <v>65.25</v>
      </c>
      <c r="M160" s="9" t="str">
        <f t="shared" si="13"/>
        <v>Fail</v>
      </c>
      <c r="N160" s="12" t="str">
        <f t="shared" si="14"/>
        <v>B</v>
      </c>
    </row>
    <row r="161" spans="1:14" x14ac:dyDescent="0.35">
      <c r="A161" s="1">
        <v>160</v>
      </c>
      <c r="B161" s="1" t="s">
        <v>172</v>
      </c>
      <c r="C161" s="1" t="s">
        <v>13</v>
      </c>
      <c r="D161" s="1">
        <v>14</v>
      </c>
      <c r="E161" s="1" t="s">
        <v>14</v>
      </c>
      <c r="F161" s="1">
        <v>61</v>
      </c>
      <c r="G161" s="1">
        <v>89</v>
      </c>
      <c r="H161" s="1">
        <v>70</v>
      </c>
      <c r="I161" s="1">
        <v>68</v>
      </c>
      <c r="J161" s="2">
        <f t="shared" si="10"/>
        <v>288</v>
      </c>
      <c r="K161" s="6">
        <f t="shared" si="11"/>
        <v>72</v>
      </c>
      <c r="L161" s="8">
        <f t="shared" si="12"/>
        <v>72</v>
      </c>
      <c r="M161" s="9" t="str">
        <f t="shared" si="13"/>
        <v>Pass</v>
      </c>
      <c r="N161" s="12" t="str">
        <f t="shared" si="14"/>
        <v>B</v>
      </c>
    </row>
    <row r="162" spans="1:14" x14ac:dyDescent="0.35">
      <c r="A162" s="1">
        <v>161</v>
      </c>
      <c r="B162" s="1" t="s">
        <v>173</v>
      </c>
      <c r="C162" s="1" t="s">
        <v>10</v>
      </c>
      <c r="D162" s="1">
        <v>15</v>
      </c>
      <c r="E162" s="1" t="s">
        <v>11</v>
      </c>
      <c r="F162" s="1">
        <v>58</v>
      </c>
      <c r="G162" s="1">
        <v>25</v>
      </c>
      <c r="H162" s="1">
        <v>23</v>
      </c>
      <c r="I162" s="1">
        <v>39</v>
      </c>
      <c r="J162" s="2">
        <f t="shared" si="10"/>
        <v>145</v>
      </c>
      <c r="K162" s="6">
        <f t="shared" si="11"/>
        <v>36.25</v>
      </c>
      <c r="L162" s="8">
        <f t="shared" si="12"/>
        <v>36.25</v>
      </c>
      <c r="M162" s="9" t="str">
        <f t="shared" si="13"/>
        <v>Fail</v>
      </c>
      <c r="N162" s="12" t="str">
        <f t="shared" si="14"/>
        <v>D</v>
      </c>
    </row>
    <row r="163" spans="1:14" x14ac:dyDescent="0.35">
      <c r="A163" s="1">
        <v>162</v>
      </c>
      <c r="B163" s="1" t="s">
        <v>174</v>
      </c>
      <c r="C163" s="1" t="s">
        <v>10</v>
      </c>
      <c r="D163" s="1">
        <v>13</v>
      </c>
      <c r="E163" s="1" t="s">
        <v>18</v>
      </c>
      <c r="F163" s="1">
        <v>100</v>
      </c>
      <c r="G163" s="1">
        <v>64</v>
      </c>
      <c r="H163" s="1">
        <v>16</v>
      </c>
      <c r="I163" s="1">
        <v>20</v>
      </c>
      <c r="J163" s="2">
        <f t="shared" si="10"/>
        <v>200</v>
      </c>
      <c r="K163" s="6">
        <f t="shared" si="11"/>
        <v>50</v>
      </c>
      <c r="L163" s="8">
        <f t="shared" si="12"/>
        <v>50</v>
      </c>
      <c r="M163" s="9" t="str">
        <f t="shared" si="13"/>
        <v>Fail</v>
      </c>
      <c r="N163" s="12" t="str">
        <f t="shared" si="14"/>
        <v>C</v>
      </c>
    </row>
    <row r="164" spans="1:14" x14ac:dyDescent="0.35">
      <c r="A164" s="1">
        <v>163</v>
      </c>
      <c r="B164" s="1" t="s">
        <v>175</v>
      </c>
      <c r="C164" s="1" t="s">
        <v>13</v>
      </c>
      <c r="D164" s="1">
        <v>15</v>
      </c>
      <c r="E164" s="1" t="s">
        <v>14</v>
      </c>
      <c r="F164" s="1">
        <v>44</v>
      </c>
      <c r="G164" s="1">
        <v>47</v>
      </c>
      <c r="H164" s="1">
        <v>43</v>
      </c>
      <c r="I164" s="1">
        <v>55</v>
      </c>
      <c r="J164" s="2">
        <f t="shared" si="10"/>
        <v>189</v>
      </c>
      <c r="K164" s="6">
        <f t="shared" si="11"/>
        <v>47.25</v>
      </c>
      <c r="L164" s="8">
        <f t="shared" si="12"/>
        <v>47.25</v>
      </c>
      <c r="M164" s="9" t="str">
        <f t="shared" si="13"/>
        <v>Pass</v>
      </c>
      <c r="N164" s="12" t="str">
        <f t="shared" si="14"/>
        <v>D</v>
      </c>
    </row>
    <row r="165" spans="1:14" x14ac:dyDescent="0.35">
      <c r="A165" s="1">
        <v>164</v>
      </c>
      <c r="B165" s="1" t="s">
        <v>176</v>
      </c>
      <c r="C165" s="1" t="s">
        <v>10</v>
      </c>
      <c r="D165" s="1">
        <v>13</v>
      </c>
      <c r="E165" s="1" t="s">
        <v>18</v>
      </c>
      <c r="F165" s="1">
        <v>91</v>
      </c>
      <c r="G165" s="1">
        <v>12</v>
      </c>
      <c r="H165" s="1">
        <v>15</v>
      </c>
      <c r="I165" s="1">
        <v>70</v>
      </c>
      <c r="J165" s="2">
        <f t="shared" si="10"/>
        <v>188</v>
      </c>
      <c r="K165" s="6">
        <f t="shared" si="11"/>
        <v>47</v>
      </c>
      <c r="L165" s="8">
        <f t="shared" si="12"/>
        <v>47</v>
      </c>
      <c r="M165" s="9" t="str">
        <f t="shared" si="13"/>
        <v>Fail</v>
      </c>
      <c r="N165" s="12" t="str">
        <f t="shared" si="14"/>
        <v>D</v>
      </c>
    </row>
    <row r="166" spans="1:14" x14ac:dyDescent="0.35">
      <c r="A166" s="1">
        <v>165</v>
      </c>
      <c r="B166" s="1" t="s">
        <v>177</v>
      </c>
      <c r="C166" s="1" t="s">
        <v>10</v>
      </c>
      <c r="D166" s="1">
        <v>15</v>
      </c>
      <c r="E166" s="1" t="s">
        <v>11</v>
      </c>
      <c r="F166" s="1">
        <v>35</v>
      </c>
      <c r="G166" s="1">
        <v>39</v>
      </c>
      <c r="H166" s="1">
        <v>61</v>
      </c>
      <c r="I166" s="1">
        <v>9</v>
      </c>
      <c r="J166" s="2">
        <f t="shared" si="10"/>
        <v>144</v>
      </c>
      <c r="K166" s="6">
        <f t="shared" si="11"/>
        <v>36</v>
      </c>
      <c r="L166" s="8">
        <f t="shared" si="12"/>
        <v>36</v>
      </c>
      <c r="M166" s="9" t="str">
        <f t="shared" si="13"/>
        <v>Fail</v>
      </c>
      <c r="N166" s="12" t="str">
        <f t="shared" si="14"/>
        <v>D</v>
      </c>
    </row>
    <row r="167" spans="1:14" x14ac:dyDescent="0.35">
      <c r="A167" s="1">
        <v>166</v>
      </c>
      <c r="B167" s="1" t="s">
        <v>178</v>
      </c>
      <c r="C167" s="1" t="s">
        <v>13</v>
      </c>
      <c r="D167" s="1">
        <v>13</v>
      </c>
      <c r="E167" s="1" t="s">
        <v>11</v>
      </c>
      <c r="F167" s="1">
        <v>67</v>
      </c>
      <c r="G167" s="1">
        <v>21</v>
      </c>
      <c r="H167" s="1">
        <v>60</v>
      </c>
      <c r="I167" s="1">
        <v>40</v>
      </c>
      <c r="J167" s="2">
        <f t="shared" si="10"/>
        <v>188</v>
      </c>
      <c r="K167" s="6">
        <f t="shared" si="11"/>
        <v>47</v>
      </c>
      <c r="L167" s="8">
        <f t="shared" si="12"/>
        <v>47</v>
      </c>
      <c r="M167" s="9" t="str">
        <f t="shared" si="13"/>
        <v>Fail</v>
      </c>
      <c r="N167" s="12" t="str">
        <f t="shared" si="14"/>
        <v>D</v>
      </c>
    </row>
    <row r="168" spans="1:14" x14ac:dyDescent="0.35">
      <c r="A168" s="1">
        <v>167</v>
      </c>
      <c r="B168" s="1" t="s">
        <v>179</v>
      </c>
      <c r="C168" s="1" t="s">
        <v>13</v>
      </c>
      <c r="D168" s="1">
        <v>15</v>
      </c>
      <c r="E168" s="1" t="s">
        <v>11</v>
      </c>
      <c r="F168" s="1">
        <v>84</v>
      </c>
      <c r="G168" s="1">
        <v>8</v>
      </c>
      <c r="H168" s="1">
        <v>71</v>
      </c>
      <c r="I168" s="1">
        <v>48</v>
      </c>
      <c r="J168" s="2">
        <f t="shared" si="10"/>
        <v>211</v>
      </c>
      <c r="K168" s="6">
        <f t="shared" si="11"/>
        <v>52.75</v>
      </c>
      <c r="L168" s="8">
        <f t="shared" si="12"/>
        <v>52.75</v>
      </c>
      <c r="M168" s="9" t="str">
        <f t="shared" si="13"/>
        <v>Fail</v>
      </c>
      <c r="N168" s="12" t="str">
        <f t="shared" si="14"/>
        <v>C</v>
      </c>
    </row>
    <row r="169" spans="1:14" x14ac:dyDescent="0.35">
      <c r="A169" s="1">
        <v>168</v>
      </c>
      <c r="B169" s="1" t="s">
        <v>31</v>
      </c>
      <c r="C169" s="1" t="s">
        <v>10</v>
      </c>
      <c r="D169" s="1">
        <v>13</v>
      </c>
      <c r="E169" s="1" t="s">
        <v>14</v>
      </c>
      <c r="F169" s="1">
        <v>23</v>
      </c>
      <c r="G169" s="1">
        <v>5</v>
      </c>
      <c r="H169" s="1">
        <v>39</v>
      </c>
      <c r="I169" s="1">
        <v>42</v>
      </c>
      <c r="J169" s="2">
        <f t="shared" si="10"/>
        <v>109</v>
      </c>
      <c r="K169" s="6">
        <f t="shared" si="11"/>
        <v>27.25</v>
      </c>
      <c r="L169" s="8">
        <f t="shared" si="12"/>
        <v>27.250000000000004</v>
      </c>
      <c r="M169" s="9" t="str">
        <f t="shared" si="13"/>
        <v>Fail</v>
      </c>
      <c r="N169" s="12" t="str">
        <f t="shared" si="14"/>
        <v>F</v>
      </c>
    </row>
    <row r="170" spans="1:14" x14ac:dyDescent="0.35">
      <c r="A170" s="1">
        <v>169</v>
      </c>
      <c r="B170" s="1" t="s">
        <v>180</v>
      </c>
      <c r="C170" s="1" t="s">
        <v>13</v>
      </c>
      <c r="D170" s="1">
        <v>14</v>
      </c>
      <c r="E170" s="1" t="s">
        <v>11</v>
      </c>
      <c r="F170" s="1">
        <v>95</v>
      </c>
      <c r="G170" s="1">
        <v>56</v>
      </c>
      <c r="H170" s="1">
        <v>4</v>
      </c>
      <c r="I170" s="1">
        <v>100</v>
      </c>
      <c r="J170" s="2">
        <f t="shared" si="10"/>
        <v>255</v>
      </c>
      <c r="K170" s="6">
        <f t="shared" si="11"/>
        <v>63.75</v>
      </c>
      <c r="L170" s="8">
        <f t="shared" si="12"/>
        <v>63.749999999999993</v>
      </c>
      <c r="M170" s="9" t="str">
        <f t="shared" si="13"/>
        <v>Fail</v>
      </c>
      <c r="N170" s="12" t="str">
        <f t="shared" si="14"/>
        <v>B</v>
      </c>
    </row>
    <row r="171" spans="1:14" x14ac:dyDescent="0.35">
      <c r="A171" s="1">
        <v>170</v>
      </c>
      <c r="B171" s="1" t="s">
        <v>181</v>
      </c>
      <c r="C171" s="1" t="s">
        <v>10</v>
      </c>
      <c r="D171" s="1">
        <v>15</v>
      </c>
      <c r="E171" s="1" t="s">
        <v>14</v>
      </c>
      <c r="F171" s="1">
        <v>38</v>
      </c>
      <c r="G171" s="1">
        <v>17</v>
      </c>
      <c r="H171" s="1">
        <v>76</v>
      </c>
      <c r="I171" s="1">
        <v>26</v>
      </c>
      <c r="J171" s="2">
        <f t="shared" si="10"/>
        <v>157</v>
      </c>
      <c r="K171" s="6">
        <f t="shared" si="11"/>
        <v>39.25</v>
      </c>
      <c r="L171" s="8">
        <f t="shared" si="12"/>
        <v>39.25</v>
      </c>
      <c r="M171" s="9" t="str">
        <f t="shared" si="13"/>
        <v>Fail</v>
      </c>
      <c r="N171" s="12" t="str">
        <f t="shared" si="14"/>
        <v>D</v>
      </c>
    </row>
    <row r="172" spans="1:14" x14ac:dyDescent="0.35">
      <c r="A172" s="1">
        <v>171</v>
      </c>
      <c r="B172" s="1" t="s">
        <v>182</v>
      </c>
      <c r="C172" s="1" t="s">
        <v>10</v>
      </c>
      <c r="D172" s="1">
        <v>15</v>
      </c>
      <c r="E172" s="1" t="s">
        <v>14</v>
      </c>
      <c r="F172" s="1">
        <v>34</v>
      </c>
      <c r="G172" s="1">
        <v>74</v>
      </c>
      <c r="H172" s="1">
        <v>83</v>
      </c>
      <c r="I172" s="1">
        <v>81</v>
      </c>
      <c r="J172" s="2">
        <f t="shared" si="10"/>
        <v>272</v>
      </c>
      <c r="K172" s="6">
        <f t="shared" si="11"/>
        <v>68</v>
      </c>
      <c r="L172" s="8">
        <f t="shared" si="12"/>
        <v>68</v>
      </c>
      <c r="M172" s="9" t="str">
        <f t="shared" si="13"/>
        <v>Fail</v>
      </c>
      <c r="N172" s="12" t="str">
        <f t="shared" si="14"/>
        <v>B</v>
      </c>
    </row>
    <row r="173" spans="1:14" x14ac:dyDescent="0.35">
      <c r="A173" s="1">
        <v>172</v>
      </c>
      <c r="B173" s="1" t="s">
        <v>183</v>
      </c>
      <c r="C173" s="1" t="s">
        <v>13</v>
      </c>
      <c r="D173" s="1">
        <v>14</v>
      </c>
      <c r="E173" s="1" t="s">
        <v>18</v>
      </c>
      <c r="F173" s="1">
        <v>86</v>
      </c>
      <c r="G173" s="1">
        <v>92</v>
      </c>
      <c r="H173" s="1">
        <v>8</v>
      </c>
      <c r="I173" s="1">
        <v>62</v>
      </c>
      <c r="J173" s="2">
        <f t="shared" si="10"/>
        <v>248</v>
      </c>
      <c r="K173" s="6">
        <f t="shared" si="11"/>
        <v>62</v>
      </c>
      <c r="L173" s="8">
        <f t="shared" si="12"/>
        <v>62</v>
      </c>
      <c r="M173" s="9" t="str">
        <f t="shared" si="13"/>
        <v>Fail</v>
      </c>
      <c r="N173" s="12" t="str">
        <f t="shared" si="14"/>
        <v>B</v>
      </c>
    </row>
    <row r="174" spans="1:14" x14ac:dyDescent="0.35">
      <c r="A174" s="1">
        <v>173</v>
      </c>
      <c r="B174" s="1" t="s">
        <v>184</v>
      </c>
      <c r="C174" s="1" t="s">
        <v>13</v>
      </c>
      <c r="D174" s="1">
        <v>15</v>
      </c>
      <c r="E174" s="1" t="s">
        <v>11</v>
      </c>
      <c r="F174" s="1">
        <v>55</v>
      </c>
      <c r="G174" s="1">
        <v>62</v>
      </c>
      <c r="H174" s="1">
        <v>57</v>
      </c>
      <c r="I174" s="1">
        <v>56</v>
      </c>
      <c r="J174" s="2">
        <f t="shared" si="10"/>
        <v>230</v>
      </c>
      <c r="K174" s="6">
        <f t="shared" si="11"/>
        <v>57.5</v>
      </c>
      <c r="L174" s="8">
        <f t="shared" si="12"/>
        <v>57.499999999999993</v>
      </c>
      <c r="M174" s="9" t="str">
        <f t="shared" si="13"/>
        <v>Pass</v>
      </c>
      <c r="N174" s="12" t="str">
        <f t="shared" si="14"/>
        <v>C</v>
      </c>
    </row>
    <row r="175" spans="1:14" x14ac:dyDescent="0.35">
      <c r="A175" s="1">
        <v>174</v>
      </c>
      <c r="B175" s="1" t="s">
        <v>185</v>
      </c>
      <c r="C175" s="1" t="s">
        <v>13</v>
      </c>
      <c r="D175" s="1">
        <v>14</v>
      </c>
      <c r="E175" s="1" t="s">
        <v>18</v>
      </c>
      <c r="F175" s="1">
        <v>94</v>
      </c>
      <c r="G175" s="1">
        <v>28</v>
      </c>
      <c r="H175" s="1">
        <v>6</v>
      </c>
      <c r="I175" s="1">
        <v>9</v>
      </c>
      <c r="J175" s="2">
        <f t="shared" si="10"/>
        <v>137</v>
      </c>
      <c r="K175" s="6">
        <f t="shared" si="11"/>
        <v>34.25</v>
      </c>
      <c r="L175" s="8">
        <f t="shared" si="12"/>
        <v>34.25</v>
      </c>
      <c r="M175" s="9" t="str">
        <f t="shared" si="13"/>
        <v>Fail</v>
      </c>
      <c r="N175" s="12" t="str">
        <f t="shared" si="14"/>
        <v>F</v>
      </c>
    </row>
    <row r="176" spans="1:14" x14ac:dyDescent="0.35">
      <c r="A176" s="1">
        <v>175</v>
      </c>
      <c r="B176" s="1" t="s">
        <v>186</v>
      </c>
      <c r="C176" s="1" t="s">
        <v>10</v>
      </c>
      <c r="D176" s="1">
        <v>14</v>
      </c>
      <c r="E176" s="1" t="s">
        <v>14</v>
      </c>
      <c r="F176" s="1">
        <v>63</v>
      </c>
      <c r="G176" s="1">
        <v>9</v>
      </c>
      <c r="H176" s="1">
        <v>91</v>
      </c>
      <c r="I176" s="1">
        <v>88</v>
      </c>
      <c r="J176" s="2">
        <f t="shared" si="10"/>
        <v>251</v>
      </c>
      <c r="K176" s="6">
        <f t="shared" si="11"/>
        <v>62.75</v>
      </c>
      <c r="L176" s="8">
        <f t="shared" si="12"/>
        <v>62.749999999999993</v>
      </c>
      <c r="M176" s="9" t="str">
        <f t="shared" si="13"/>
        <v>Fail</v>
      </c>
      <c r="N176" s="12" t="str">
        <f t="shared" si="14"/>
        <v>B</v>
      </c>
    </row>
    <row r="177" spans="1:14" x14ac:dyDescent="0.35">
      <c r="A177" s="1">
        <v>176</v>
      </c>
      <c r="B177" s="1" t="s">
        <v>187</v>
      </c>
      <c r="C177" s="1" t="s">
        <v>13</v>
      </c>
      <c r="D177" s="1">
        <v>14</v>
      </c>
      <c r="E177" s="1" t="s">
        <v>11</v>
      </c>
      <c r="F177" s="1">
        <v>95</v>
      </c>
      <c r="G177" s="1">
        <v>21</v>
      </c>
      <c r="H177" s="1">
        <v>51</v>
      </c>
      <c r="I177" s="1">
        <v>33</v>
      </c>
      <c r="J177" s="2">
        <f t="shared" si="10"/>
        <v>200</v>
      </c>
      <c r="K177" s="6">
        <f t="shared" si="11"/>
        <v>50</v>
      </c>
      <c r="L177" s="8">
        <f t="shared" si="12"/>
        <v>50</v>
      </c>
      <c r="M177" s="9" t="str">
        <f t="shared" si="13"/>
        <v>Fail</v>
      </c>
      <c r="N177" s="12" t="str">
        <f t="shared" si="14"/>
        <v>C</v>
      </c>
    </row>
    <row r="178" spans="1:14" x14ac:dyDescent="0.35">
      <c r="A178" s="1">
        <v>177</v>
      </c>
      <c r="B178" s="1" t="s">
        <v>188</v>
      </c>
      <c r="C178" s="1" t="s">
        <v>13</v>
      </c>
      <c r="D178" s="1">
        <v>13</v>
      </c>
      <c r="E178" s="1" t="s">
        <v>14</v>
      </c>
      <c r="F178" s="1">
        <v>92</v>
      </c>
      <c r="G178" s="1">
        <v>36</v>
      </c>
      <c r="H178" s="1">
        <v>59</v>
      </c>
      <c r="I178" s="1">
        <v>48</v>
      </c>
      <c r="J178" s="2">
        <f t="shared" si="10"/>
        <v>235</v>
      </c>
      <c r="K178" s="6">
        <f t="shared" si="11"/>
        <v>58.75</v>
      </c>
      <c r="L178" s="8">
        <f t="shared" si="12"/>
        <v>58.75</v>
      </c>
      <c r="M178" s="9" t="str">
        <f t="shared" si="13"/>
        <v>Pass</v>
      </c>
      <c r="N178" s="12" t="str">
        <f t="shared" si="14"/>
        <v>C</v>
      </c>
    </row>
    <row r="179" spans="1:14" x14ac:dyDescent="0.35">
      <c r="A179" s="1">
        <v>178</v>
      </c>
      <c r="B179" s="1" t="s">
        <v>189</v>
      </c>
      <c r="C179" s="1" t="s">
        <v>10</v>
      </c>
      <c r="D179" s="1">
        <v>15</v>
      </c>
      <c r="E179" s="1" t="s">
        <v>18</v>
      </c>
      <c r="F179" s="1">
        <v>87</v>
      </c>
      <c r="G179" s="1">
        <v>39</v>
      </c>
      <c r="H179" s="1">
        <v>48</v>
      </c>
      <c r="I179" s="1">
        <v>53</v>
      </c>
      <c r="J179" s="2">
        <f t="shared" si="10"/>
        <v>227</v>
      </c>
      <c r="K179" s="6">
        <f t="shared" si="11"/>
        <v>56.75</v>
      </c>
      <c r="L179" s="8">
        <f t="shared" si="12"/>
        <v>56.75</v>
      </c>
      <c r="M179" s="9" t="str">
        <f t="shared" si="13"/>
        <v>Pass</v>
      </c>
      <c r="N179" s="12" t="str">
        <f t="shared" si="14"/>
        <v>C</v>
      </c>
    </row>
    <row r="180" spans="1:14" x14ac:dyDescent="0.35">
      <c r="A180" s="1">
        <v>179</v>
      </c>
      <c r="B180" s="1" t="s">
        <v>190</v>
      </c>
      <c r="C180" s="1" t="s">
        <v>13</v>
      </c>
      <c r="D180" s="1">
        <v>13</v>
      </c>
      <c r="E180" s="1" t="s">
        <v>14</v>
      </c>
      <c r="F180" s="1">
        <v>95</v>
      </c>
      <c r="G180" s="1">
        <v>73</v>
      </c>
      <c r="H180" s="1">
        <v>91</v>
      </c>
      <c r="I180" s="1">
        <v>61</v>
      </c>
      <c r="J180" s="2">
        <f t="shared" si="10"/>
        <v>320</v>
      </c>
      <c r="K180" s="6">
        <f t="shared" si="11"/>
        <v>80</v>
      </c>
      <c r="L180" s="8">
        <f t="shared" si="12"/>
        <v>80</v>
      </c>
      <c r="M180" s="9" t="str">
        <f t="shared" si="13"/>
        <v>Pass</v>
      </c>
      <c r="N180" s="12" t="str">
        <f t="shared" si="14"/>
        <v>A</v>
      </c>
    </row>
    <row r="181" spans="1:14" x14ac:dyDescent="0.35">
      <c r="A181" s="1">
        <v>180</v>
      </c>
      <c r="B181" s="1" t="s">
        <v>191</v>
      </c>
      <c r="C181" s="1" t="s">
        <v>10</v>
      </c>
      <c r="D181" s="1">
        <v>15</v>
      </c>
      <c r="E181" s="1" t="s">
        <v>11</v>
      </c>
      <c r="F181" s="1">
        <v>32</v>
      </c>
      <c r="G181" s="1">
        <v>5</v>
      </c>
      <c r="H181" s="1">
        <v>53</v>
      </c>
      <c r="I181" s="1">
        <v>49</v>
      </c>
      <c r="J181" s="2">
        <f t="shared" si="10"/>
        <v>139</v>
      </c>
      <c r="K181" s="6">
        <f t="shared" si="11"/>
        <v>34.75</v>
      </c>
      <c r="L181" s="8">
        <f t="shared" si="12"/>
        <v>34.75</v>
      </c>
      <c r="M181" s="9" t="str">
        <f t="shared" si="13"/>
        <v>Fail</v>
      </c>
      <c r="N181" s="12" t="str">
        <f t="shared" si="14"/>
        <v>F</v>
      </c>
    </row>
    <row r="182" spans="1:14" x14ac:dyDescent="0.35">
      <c r="A182" s="1">
        <v>181</v>
      </c>
      <c r="B182" s="1" t="s">
        <v>192</v>
      </c>
      <c r="C182" s="1" t="s">
        <v>13</v>
      </c>
      <c r="D182" s="1">
        <v>13</v>
      </c>
      <c r="E182" s="1" t="s">
        <v>11</v>
      </c>
      <c r="F182" s="1">
        <v>98</v>
      </c>
      <c r="G182" s="1">
        <v>100</v>
      </c>
      <c r="H182" s="1">
        <v>23</v>
      </c>
      <c r="I182" s="1">
        <v>84</v>
      </c>
      <c r="J182" s="2">
        <f t="shared" si="10"/>
        <v>305</v>
      </c>
      <c r="K182" s="6">
        <f t="shared" si="11"/>
        <v>76.25</v>
      </c>
      <c r="L182" s="8">
        <f t="shared" si="12"/>
        <v>76.25</v>
      </c>
      <c r="M182" s="9" t="str">
        <f t="shared" si="13"/>
        <v>Fail</v>
      </c>
      <c r="N182" s="12" t="str">
        <f t="shared" si="14"/>
        <v>A</v>
      </c>
    </row>
    <row r="183" spans="1:14" x14ac:dyDescent="0.35">
      <c r="A183" s="1">
        <v>182</v>
      </c>
      <c r="B183" s="1" t="s">
        <v>193</v>
      </c>
      <c r="C183" s="1" t="s">
        <v>13</v>
      </c>
      <c r="D183" s="1">
        <v>13</v>
      </c>
      <c r="E183" s="1" t="s">
        <v>18</v>
      </c>
      <c r="F183" s="1">
        <v>62</v>
      </c>
      <c r="G183" s="1">
        <v>42</v>
      </c>
      <c r="H183" s="1">
        <v>87</v>
      </c>
      <c r="I183" s="1">
        <v>51</v>
      </c>
      <c r="J183" s="2">
        <f t="shared" si="10"/>
        <v>242</v>
      </c>
      <c r="K183" s="6">
        <f t="shared" si="11"/>
        <v>60.5</v>
      </c>
      <c r="L183" s="8">
        <f t="shared" si="12"/>
        <v>60.5</v>
      </c>
      <c r="M183" s="9" t="str">
        <f t="shared" si="13"/>
        <v>Pass</v>
      </c>
      <c r="N183" s="12" t="str">
        <f t="shared" si="14"/>
        <v>B</v>
      </c>
    </row>
    <row r="184" spans="1:14" x14ac:dyDescent="0.35">
      <c r="A184" s="1">
        <v>183</v>
      </c>
      <c r="B184" s="1" t="s">
        <v>194</v>
      </c>
      <c r="C184" s="1" t="s">
        <v>10</v>
      </c>
      <c r="D184" s="1">
        <v>15</v>
      </c>
      <c r="E184" s="1" t="s">
        <v>18</v>
      </c>
      <c r="F184" s="1">
        <v>60</v>
      </c>
      <c r="G184" s="1">
        <v>42</v>
      </c>
      <c r="H184" s="1">
        <v>49</v>
      </c>
      <c r="I184" s="1">
        <v>25</v>
      </c>
      <c r="J184" s="2">
        <f t="shared" si="10"/>
        <v>176</v>
      </c>
      <c r="K184" s="6">
        <f t="shared" si="11"/>
        <v>44</v>
      </c>
      <c r="L184" s="8">
        <f t="shared" si="12"/>
        <v>44</v>
      </c>
      <c r="M184" s="9" t="str">
        <f t="shared" si="13"/>
        <v>Fail</v>
      </c>
      <c r="N184" s="12" t="str">
        <f t="shared" si="14"/>
        <v>D</v>
      </c>
    </row>
    <row r="185" spans="1:14" x14ac:dyDescent="0.35">
      <c r="A185" s="1">
        <v>184</v>
      </c>
      <c r="B185" s="1" t="s">
        <v>195</v>
      </c>
      <c r="C185" s="1" t="s">
        <v>10</v>
      </c>
      <c r="D185" s="1">
        <v>13</v>
      </c>
      <c r="E185" s="1" t="s">
        <v>11</v>
      </c>
      <c r="F185" s="1">
        <v>53</v>
      </c>
      <c r="G185" s="1">
        <v>37</v>
      </c>
      <c r="H185" s="1">
        <v>83</v>
      </c>
      <c r="I185" s="1">
        <v>64</v>
      </c>
      <c r="J185" s="2">
        <f t="shared" si="10"/>
        <v>237</v>
      </c>
      <c r="K185" s="6">
        <f t="shared" si="11"/>
        <v>59.25</v>
      </c>
      <c r="L185" s="8">
        <f t="shared" si="12"/>
        <v>59.25</v>
      </c>
      <c r="M185" s="9" t="str">
        <f t="shared" si="13"/>
        <v>Pass</v>
      </c>
      <c r="N185" s="12" t="str">
        <f t="shared" si="14"/>
        <v>C</v>
      </c>
    </row>
    <row r="186" spans="1:14" x14ac:dyDescent="0.35">
      <c r="A186" s="1">
        <v>185</v>
      </c>
      <c r="B186" s="1" t="s">
        <v>196</v>
      </c>
      <c r="C186" s="1" t="s">
        <v>13</v>
      </c>
      <c r="D186" s="1">
        <v>14</v>
      </c>
      <c r="E186" s="1" t="s">
        <v>14</v>
      </c>
      <c r="F186" s="1">
        <v>75</v>
      </c>
      <c r="G186" s="1">
        <v>14</v>
      </c>
      <c r="H186" s="1">
        <v>54</v>
      </c>
      <c r="I186" s="1">
        <v>68</v>
      </c>
      <c r="J186" s="2">
        <f t="shared" si="10"/>
        <v>211</v>
      </c>
      <c r="K186" s="6">
        <f t="shared" si="11"/>
        <v>52.75</v>
      </c>
      <c r="L186" s="8">
        <f t="shared" si="12"/>
        <v>52.75</v>
      </c>
      <c r="M186" s="9" t="str">
        <f t="shared" si="13"/>
        <v>Fail</v>
      </c>
      <c r="N186" s="12" t="str">
        <f t="shared" si="14"/>
        <v>C</v>
      </c>
    </row>
    <row r="187" spans="1:14" x14ac:dyDescent="0.35">
      <c r="A187" s="1">
        <v>186</v>
      </c>
      <c r="B187" s="1" t="s">
        <v>197</v>
      </c>
      <c r="C187" s="1" t="s">
        <v>13</v>
      </c>
      <c r="D187" s="1">
        <v>15</v>
      </c>
      <c r="E187" s="1" t="s">
        <v>18</v>
      </c>
      <c r="F187" s="1">
        <v>48</v>
      </c>
      <c r="G187" s="1">
        <v>2</v>
      </c>
      <c r="H187" s="1">
        <v>63</v>
      </c>
      <c r="I187" s="1">
        <v>91</v>
      </c>
      <c r="J187" s="2">
        <f t="shared" si="10"/>
        <v>204</v>
      </c>
      <c r="K187" s="6">
        <f t="shared" si="11"/>
        <v>51</v>
      </c>
      <c r="L187" s="8">
        <f t="shared" si="12"/>
        <v>51</v>
      </c>
      <c r="M187" s="9" t="str">
        <f t="shared" si="13"/>
        <v>Fail</v>
      </c>
      <c r="N187" s="12" t="str">
        <f t="shared" si="14"/>
        <v>C</v>
      </c>
    </row>
    <row r="188" spans="1:14" x14ac:dyDescent="0.35">
      <c r="A188" s="1">
        <v>187</v>
      </c>
      <c r="B188" s="1" t="s">
        <v>198</v>
      </c>
      <c r="C188" s="1" t="s">
        <v>13</v>
      </c>
      <c r="D188" s="1">
        <v>14</v>
      </c>
      <c r="E188" s="1" t="s">
        <v>18</v>
      </c>
      <c r="F188" s="1">
        <v>27</v>
      </c>
      <c r="G188" s="1">
        <v>11</v>
      </c>
      <c r="H188" s="1">
        <v>18</v>
      </c>
      <c r="I188" s="1">
        <v>92</v>
      </c>
      <c r="J188" s="2">
        <f t="shared" si="10"/>
        <v>148</v>
      </c>
      <c r="K188" s="6">
        <f t="shared" si="11"/>
        <v>37</v>
      </c>
      <c r="L188" s="8">
        <f t="shared" si="12"/>
        <v>37</v>
      </c>
      <c r="M188" s="9" t="str">
        <f t="shared" si="13"/>
        <v>Fail</v>
      </c>
      <c r="N188" s="12" t="str">
        <f t="shared" si="14"/>
        <v>D</v>
      </c>
    </row>
    <row r="189" spans="1:14" x14ac:dyDescent="0.35">
      <c r="A189" s="1">
        <v>188</v>
      </c>
      <c r="B189" s="1" t="s">
        <v>199</v>
      </c>
      <c r="C189" s="1" t="s">
        <v>10</v>
      </c>
      <c r="D189" s="1">
        <v>14</v>
      </c>
      <c r="E189" s="1" t="s">
        <v>14</v>
      </c>
      <c r="F189" s="1">
        <v>60</v>
      </c>
      <c r="G189" s="1">
        <v>55</v>
      </c>
      <c r="H189" s="1">
        <v>30</v>
      </c>
      <c r="I189" s="1">
        <v>83</v>
      </c>
      <c r="J189" s="2">
        <f t="shared" si="10"/>
        <v>228</v>
      </c>
      <c r="K189" s="6">
        <f t="shared" si="11"/>
        <v>57</v>
      </c>
      <c r="L189" s="8">
        <f t="shared" si="12"/>
        <v>56.999999999999993</v>
      </c>
      <c r="M189" s="9" t="str">
        <f t="shared" si="13"/>
        <v>Fail</v>
      </c>
      <c r="N189" s="12" t="str">
        <f t="shared" si="14"/>
        <v>C</v>
      </c>
    </row>
    <row r="190" spans="1:14" x14ac:dyDescent="0.35">
      <c r="A190" s="1">
        <v>189</v>
      </c>
      <c r="B190" s="1" t="s">
        <v>200</v>
      </c>
      <c r="C190" s="1" t="s">
        <v>10</v>
      </c>
      <c r="D190" s="1">
        <v>15</v>
      </c>
      <c r="E190" s="1" t="s">
        <v>11</v>
      </c>
      <c r="F190" s="1">
        <v>87</v>
      </c>
      <c r="G190" s="1">
        <v>21</v>
      </c>
      <c r="H190" s="1">
        <v>41</v>
      </c>
      <c r="I190" s="1">
        <v>24</v>
      </c>
      <c r="J190" s="2">
        <f t="shared" si="10"/>
        <v>173</v>
      </c>
      <c r="K190" s="6">
        <f t="shared" si="11"/>
        <v>43.25</v>
      </c>
      <c r="L190" s="8">
        <f t="shared" si="12"/>
        <v>43.25</v>
      </c>
      <c r="M190" s="9" t="str">
        <f t="shared" si="13"/>
        <v>Fail</v>
      </c>
      <c r="N190" s="12" t="str">
        <f t="shared" si="14"/>
        <v>D</v>
      </c>
    </row>
    <row r="191" spans="1:14" x14ac:dyDescent="0.35">
      <c r="A191" s="1">
        <v>190</v>
      </c>
      <c r="B191" s="1" t="s">
        <v>201</v>
      </c>
      <c r="C191" s="1" t="s">
        <v>13</v>
      </c>
      <c r="D191" s="1">
        <v>13</v>
      </c>
      <c r="E191" s="1" t="s">
        <v>18</v>
      </c>
      <c r="F191" s="1">
        <v>14</v>
      </c>
      <c r="G191" s="1">
        <v>6</v>
      </c>
      <c r="H191" s="1">
        <v>29</v>
      </c>
      <c r="I191" s="1">
        <v>72</v>
      </c>
      <c r="J191" s="2">
        <f t="shared" si="10"/>
        <v>121</v>
      </c>
      <c r="K191" s="6">
        <f t="shared" si="11"/>
        <v>30.25</v>
      </c>
      <c r="L191" s="8">
        <f t="shared" si="12"/>
        <v>30.25</v>
      </c>
      <c r="M191" s="9" t="str">
        <f t="shared" si="13"/>
        <v>Fail</v>
      </c>
      <c r="N191" s="12" t="str">
        <f t="shared" si="14"/>
        <v>F</v>
      </c>
    </row>
    <row r="192" spans="1:14" x14ac:dyDescent="0.35">
      <c r="A192" s="1">
        <v>191</v>
      </c>
      <c r="B192" s="1" t="s">
        <v>202</v>
      </c>
      <c r="C192" s="1" t="s">
        <v>13</v>
      </c>
      <c r="D192" s="1">
        <v>14</v>
      </c>
      <c r="E192" s="1" t="s">
        <v>11</v>
      </c>
      <c r="F192" s="1">
        <v>38</v>
      </c>
      <c r="G192" s="1">
        <v>66</v>
      </c>
      <c r="H192" s="1">
        <v>53</v>
      </c>
      <c r="I192" s="1">
        <v>32</v>
      </c>
      <c r="J192" s="2">
        <f t="shared" si="10"/>
        <v>189</v>
      </c>
      <c r="K192" s="6">
        <f t="shared" si="11"/>
        <v>47.25</v>
      </c>
      <c r="L192" s="8">
        <f t="shared" si="12"/>
        <v>47.25</v>
      </c>
      <c r="M192" s="9" t="str">
        <f t="shared" si="13"/>
        <v>Fail</v>
      </c>
      <c r="N192" s="12" t="str">
        <f t="shared" si="14"/>
        <v>D</v>
      </c>
    </row>
    <row r="193" spans="1:14" x14ac:dyDescent="0.35">
      <c r="A193" s="1">
        <v>192</v>
      </c>
      <c r="B193" s="1" t="s">
        <v>203</v>
      </c>
      <c r="C193" s="1" t="s">
        <v>13</v>
      </c>
      <c r="D193" s="1">
        <v>13</v>
      </c>
      <c r="E193" s="1" t="s">
        <v>14</v>
      </c>
      <c r="F193" s="1">
        <v>39</v>
      </c>
      <c r="G193" s="1">
        <v>14</v>
      </c>
      <c r="H193" s="1">
        <v>77</v>
      </c>
      <c r="I193" s="1">
        <v>53</v>
      </c>
      <c r="J193" s="2">
        <f t="shared" si="10"/>
        <v>183</v>
      </c>
      <c r="K193" s="6">
        <f t="shared" si="11"/>
        <v>45.75</v>
      </c>
      <c r="L193" s="8">
        <f t="shared" si="12"/>
        <v>45.75</v>
      </c>
      <c r="M193" s="9" t="str">
        <f t="shared" si="13"/>
        <v>Fail</v>
      </c>
      <c r="N193" s="12" t="str">
        <f t="shared" si="14"/>
        <v>D</v>
      </c>
    </row>
    <row r="194" spans="1:14" x14ac:dyDescent="0.35">
      <c r="A194" s="1">
        <v>193</v>
      </c>
      <c r="B194" s="1" t="s">
        <v>204</v>
      </c>
      <c r="C194" s="1" t="s">
        <v>13</v>
      </c>
      <c r="D194" s="1">
        <v>15</v>
      </c>
      <c r="E194" s="1" t="s">
        <v>18</v>
      </c>
      <c r="F194" s="1">
        <v>50</v>
      </c>
      <c r="G194" s="1">
        <v>48</v>
      </c>
      <c r="H194" s="1">
        <v>13</v>
      </c>
      <c r="I194" s="1">
        <v>15</v>
      </c>
      <c r="J194" s="2">
        <f t="shared" si="10"/>
        <v>126</v>
      </c>
      <c r="K194" s="6">
        <f t="shared" si="11"/>
        <v>31.5</v>
      </c>
      <c r="L194" s="8">
        <f t="shared" si="12"/>
        <v>31.5</v>
      </c>
      <c r="M194" s="9" t="str">
        <f t="shared" si="13"/>
        <v>Fail</v>
      </c>
      <c r="N194" s="12" t="str">
        <f t="shared" si="14"/>
        <v>F</v>
      </c>
    </row>
    <row r="195" spans="1:14" x14ac:dyDescent="0.35">
      <c r="A195" s="1">
        <v>194</v>
      </c>
      <c r="B195" s="1" t="s">
        <v>205</v>
      </c>
      <c r="C195" s="1" t="s">
        <v>10</v>
      </c>
      <c r="D195" s="1">
        <v>13</v>
      </c>
      <c r="E195" s="1" t="s">
        <v>14</v>
      </c>
      <c r="F195" s="1">
        <v>48</v>
      </c>
      <c r="G195" s="1">
        <v>4</v>
      </c>
      <c r="H195" s="1">
        <v>79</v>
      </c>
      <c r="I195" s="1">
        <v>76</v>
      </c>
      <c r="J195" s="2">
        <f t="shared" ref="J195:J251" si="15">SUM(E195:I195)</f>
        <v>207</v>
      </c>
      <c r="K195" s="6">
        <f t="shared" ref="K195:K251" si="16">AVERAGE(F195:I195)</f>
        <v>51.75</v>
      </c>
      <c r="L195" s="8">
        <f t="shared" ref="L195:L251" si="17">(J195/400)*100</f>
        <v>51.749999999999993</v>
      </c>
      <c r="M195" s="9" t="str">
        <f t="shared" ref="M195:M251" si="18">IF(AND(F195&gt;=35,G195&gt;=35,H195&gt;=35,I195&gt;=35),"Pass","Fail")</f>
        <v>Fail</v>
      </c>
      <c r="N195" s="12" t="str">
        <f t="shared" ref="N195:N251" si="19">IF(L195&gt;=75,"A",IF(L195&gt;=60,"B",IF(L195&gt;=50,"C",IF(L195&gt;=35,"D","F"))))</f>
        <v>C</v>
      </c>
    </row>
    <row r="196" spans="1:14" x14ac:dyDescent="0.35">
      <c r="A196" s="1">
        <v>195</v>
      </c>
      <c r="B196" s="1" t="s">
        <v>206</v>
      </c>
      <c r="C196" s="1" t="s">
        <v>13</v>
      </c>
      <c r="D196" s="1">
        <v>15</v>
      </c>
      <c r="E196" s="1" t="s">
        <v>11</v>
      </c>
      <c r="F196" s="1">
        <v>13</v>
      </c>
      <c r="G196" s="1">
        <v>35</v>
      </c>
      <c r="H196" s="1">
        <v>71</v>
      </c>
      <c r="I196" s="1">
        <v>30</v>
      </c>
      <c r="J196" s="2">
        <f t="shared" si="15"/>
        <v>149</v>
      </c>
      <c r="K196" s="6">
        <f t="shared" si="16"/>
        <v>37.25</v>
      </c>
      <c r="L196" s="8">
        <f t="shared" si="17"/>
        <v>37.25</v>
      </c>
      <c r="M196" s="9" t="str">
        <f t="shared" si="18"/>
        <v>Fail</v>
      </c>
      <c r="N196" s="12" t="str">
        <f t="shared" si="19"/>
        <v>D</v>
      </c>
    </row>
    <row r="197" spans="1:14" x14ac:dyDescent="0.35">
      <c r="A197" s="1">
        <v>196</v>
      </c>
      <c r="B197" s="1" t="s">
        <v>207</v>
      </c>
      <c r="C197" s="1" t="s">
        <v>13</v>
      </c>
      <c r="D197" s="1">
        <v>14</v>
      </c>
      <c r="E197" s="1" t="s">
        <v>18</v>
      </c>
      <c r="F197" s="1">
        <v>92</v>
      </c>
      <c r="G197" s="1">
        <v>57</v>
      </c>
      <c r="H197" s="1">
        <v>31</v>
      </c>
      <c r="I197" s="1">
        <v>75</v>
      </c>
      <c r="J197" s="2">
        <f t="shared" si="15"/>
        <v>255</v>
      </c>
      <c r="K197" s="6">
        <f t="shared" si="16"/>
        <v>63.75</v>
      </c>
      <c r="L197" s="8">
        <f t="shared" si="17"/>
        <v>63.749999999999993</v>
      </c>
      <c r="M197" s="9" t="str">
        <f t="shared" si="18"/>
        <v>Fail</v>
      </c>
      <c r="N197" s="12" t="str">
        <f t="shared" si="19"/>
        <v>B</v>
      </c>
    </row>
    <row r="198" spans="1:14" x14ac:dyDescent="0.35">
      <c r="A198" s="1">
        <v>197</v>
      </c>
      <c r="B198" s="1" t="s">
        <v>208</v>
      </c>
      <c r="C198" s="1" t="s">
        <v>10</v>
      </c>
      <c r="D198" s="1">
        <v>14</v>
      </c>
      <c r="E198" s="1" t="s">
        <v>18</v>
      </c>
      <c r="F198" s="1">
        <v>82</v>
      </c>
      <c r="G198" s="1">
        <v>4</v>
      </c>
      <c r="H198" s="1">
        <v>56</v>
      </c>
      <c r="I198" s="1">
        <v>22</v>
      </c>
      <c r="J198" s="2">
        <f t="shared" si="15"/>
        <v>164</v>
      </c>
      <c r="K198" s="6">
        <f t="shared" si="16"/>
        <v>41</v>
      </c>
      <c r="L198" s="8">
        <f t="shared" si="17"/>
        <v>41</v>
      </c>
      <c r="M198" s="9" t="str">
        <f t="shared" si="18"/>
        <v>Fail</v>
      </c>
      <c r="N198" s="12" t="str">
        <f t="shared" si="19"/>
        <v>D</v>
      </c>
    </row>
    <row r="199" spans="1:14" x14ac:dyDescent="0.35">
      <c r="A199" s="1">
        <v>198</v>
      </c>
      <c r="B199" s="1" t="s">
        <v>209</v>
      </c>
      <c r="C199" s="1" t="s">
        <v>10</v>
      </c>
      <c r="D199" s="1">
        <v>14</v>
      </c>
      <c r="E199" s="1" t="s">
        <v>14</v>
      </c>
      <c r="F199" s="1">
        <v>98</v>
      </c>
      <c r="G199" s="1">
        <v>13</v>
      </c>
      <c r="H199" s="1">
        <v>35</v>
      </c>
      <c r="I199" s="1">
        <v>4</v>
      </c>
      <c r="J199" s="2">
        <f t="shared" si="15"/>
        <v>150</v>
      </c>
      <c r="K199" s="6">
        <f t="shared" si="16"/>
        <v>37.5</v>
      </c>
      <c r="L199" s="8">
        <f t="shared" si="17"/>
        <v>37.5</v>
      </c>
      <c r="M199" s="9" t="str">
        <f t="shared" si="18"/>
        <v>Fail</v>
      </c>
      <c r="N199" s="12" t="str">
        <f t="shared" si="19"/>
        <v>D</v>
      </c>
    </row>
    <row r="200" spans="1:14" x14ac:dyDescent="0.35">
      <c r="A200" s="1">
        <v>199</v>
      </c>
      <c r="B200" s="1" t="s">
        <v>210</v>
      </c>
      <c r="C200" s="1" t="s">
        <v>13</v>
      </c>
      <c r="D200" s="1">
        <v>14</v>
      </c>
      <c r="E200" s="1" t="s">
        <v>11</v>
      </c>
      <c r="F200" s="1">
        <v>30</v>
      </c>
      <c r="G200" s="1">
        <v>62</v>
      </c>
      <c r="H200" s="1">
        <v>32</v>
      </c>
      <c r="I200" s="1">
        <v>60</v>
      </c>
      <c r="J200" s="2">
        <f t="shared" si="15"/>
        <v>184</v>
      </c>
      <c r="K200" s="6">
        <f t="shared" si="16"/>
        <v>46</v>
      </c>
      <c r="L200" s="8">
        <f t="shared" si="17"/>
        <v>46</v>
      </c>
      <c r="M200" s="9" t="str">
        <f t="shared" si="18"/>
        <v>Fail</v>
      </c>
      <c r="N200" s="12" t="str">
        <f t="shared" si="19"/>
        <v>D</v>
      </c>
    </row>
    <row r="201" spans="1:14" x14ac:dyDescent="0.35">
      <c r="A201" s="1">
        <v>200</v>
      </c>
      <c r="B201" s="1" t="s">
        <v>210</v>
      </c>
      <c r="C201" s="1" t="s">
        <v>10</v>
      </c>
      <c r="D201" s="1">
        <v>15</v>
      </c>
      <c r="E201" s="1" t="s">
        <v>18</v>
      </c>
      <c r="F201" s="1">
        <v>57</v>
      </c>
      <c r="G201" s="1">
        <v>68</v>
      </c>
      <c r="H201" s="1">
        <v>56</v>
      </c>
      <c r="I201" s="1">
        <v>23</v>
      </c>
      <c r="J201" s="2">
        <f t="shared" si="15"/>
        <v>204</v>
      </c>
      <c r="K201" s="6">
        <f t="shared" si="16"/>
        <v>51</v>
      </c>
      <c r="L201" s="8">
        <f t="shared" si="17"/>
        <v>51</v>
      </c>
      <c r="M201" s="9" t="str">
        <f t="shared" si="18"/>
        <v>Fail</v>
      </c>
      <c r="N201" s="12" t="str">
        <f t="shared" si="19"/>
        <v>C</v>
      </c>
    </row>
    <row r="202" spans="1:14" x14ac:dyDescent="0.35">
      <c r="A202" s="1">
        <v>201</v>
      </c>
      <c r="B202" s="1" t="s">
        <v>211</v>
      </c>
      <c r="C202" s="1" t="s">
        <v>10</v>
      </c>
      <c r="D202" s="1">
        <v>15</v>
      </c>
      <c r="E202" s="1" t="s">
        <v>14</v>
      </c>
      <c r="F202" s="1">
        <v>84</v>
      </c>
      <c r="G202" s="1">
        <v>97</v>
      </c>
      <c r="H202" s="1">
        <v>88</v>
      </c>
      <c r="I202" s="1">
        <v>64</v>
      </c>
      <c r="J202" s="2">
        <f t="shared" si="15"/>
        <v>333</v>
      </c>
      <c r="K202" s="6">
        <f t="shared" si="16"/>
        <v>83.25</v>
      </c>
      <c r="L202" s="8">
        <f t="shared" si="17"/>
        <v>83.25</v>
      </c>
      <c r="M202" s="9" t="str">
        <f t="shared" si="18"/>
        <v>Pass</v>
      </c>
      <c r="N202" s="12" t="str">
        <f t="shared" si="19"/>
        <v>A</v>
      </c>
    </row>
    <row r="203" spans="1:14" x14ac:dyDescent="0.35">
      <c r="A203" s="1">
        <v>202</v>
      </c>
      <c r="B203" s="1" t="s">
        <v>212</v>
      </c>
      <c r="C203" s="1" t="s">
        <v>13</v>
      </c>
      <c r="D203" s="1">
        <v>14</v>
      </c>
      <c r="E203" s="1" t="s">
        <v>11</v>
      </c>
      <c r="F203" s="1">
        <v>89</v>
      </c>
      <c r="G203" s="1">
        <v>59</v>
      </c>
      <c r="H203" s="1">
        <v>33</v>
      </c>
      <c r="I203" s="1">
        <v>91</v>
      </c>
      <c r="J203" s="2">
        <f t="shared" si="15"/>
        <v>272</v>
      </c>
      <c r="K203" s="6">
        <f t="shared" si="16"/>
        <v>68</v>
      </c>
      <c r="L203" s="8">
        <f t="shared" si="17"/>
        <v>68</v>
      </c>
      <c r="M203" s="9" t="str">
        <f t="shared" si="18"/>
        <v>Fail</v>
      </c>
      <c r="N203" s="12" t="str">
        <f t="shared" si="19"/>
        <v>B</v>
      </c>
    </row>
    <row r="204" spans="1:14" x14ac:dyDescent="0.35">
      <c r="A204" s="1">
        <v>203</v>
      </c>
      <c r="B204" s="1" t="s">
        <v>213</v>
      </c>
      <c r="C204" s="1" t="s">
        <v>13</v>
      </c>
      <c r="D204" s="1">
        <v>14</v>
      </c>
      <c r="E204" s="1" t="s">
        <v>14</v>
      </c>
      <c r="F204" s="1">
        <v>45</v>
      </c>
      <c r="G204" s="1">
        <v>21</v>
      </c>
      <c r="H204" s="1">
        <v>61</v>
      </c>
      <c r="I204" s="1">
        <v>13</v>
      </c>
      <c r="J204" s="2">
        <f t="shared" si="15"/>
        <v>140</v>
      </c>
      <c r="K204" s="6">
        <f t="shared" si="16"/>
        <v>35</v>
      </c>
      <c r="L204" s="8">
        <f t="shared" si="17"/>
        <v>35</v>
      </c>
      <c r="M204" s="9" t="str">
        <f t="shared" si="18"/>
        <v>Fail</v>
      </c>
      <c r="N204" s="12" t="str">
        <f t="shared" si="19"/>
        <v>D</v>
      </c>
    </row>
    <row r="205" spans="1:14" x14ac:dyDescent="0.35">
      <c r="A205" s="1">
        <v>204</v>
      </c>
      <c r="B205" s="1" t="s">
        <v>214</v>
      </c>
      <c r="C205" s="1" t="s">
        <v>13</v>
      </c>
      <c r="D205" s="1">
        <v>14</v>
      </c>
      <c r="E205" s="1" t="s">
        <v>14</v>
      </c>
      <c r="F205" s="1">
        <v>84</v>
      </c>
      <c r="G205" s="1">
        <v>10</v>
      </c>
      <c r="H205" s="1">
        <v>71</v>
      </c>
      <c r="I205" s="1">
        <v>8</v>
      </c>
      <c r="J205" s="2">
        <f t="shared" si="15"/>
        <v>173</v>
      </c>
      <c r="K205" s="6">
        <f t="shared" si="16"/>
        <v>43.25</v>
      </c>
      <c r="L205" s="8">
        <f t="shared" si="17"/>
        <v>43.25</v>
      </c>
      <c r="M205" s="9" t="str">
        <f t="shared" si="18"/>
        <v>Fail</v>
      </c>
      <c r="N205" s="12" t="str">
        <f t="shared" si="19"/>
        <v>D</v>
      </c>
    </row>
    <row r="206" spans="1:14" x14ac:dyDescent="0.35">
      <c r="A206" s="1">
        <v>205</v>
      </c>
      <c r="B206" s="1" t="s">
        <v>215</v>
      </c>
      <c r="C206" s="1" t="s">
        <v>10</v>
      </c>
      <c r="D206" s="1">
        <v>13</v>
      </c>
      <c r="E206" s="1" t="s">
        <v>11</v>
      </c>
      <c r="F206" s="1">
        <v>7</v>
      </c>
      <c r="G206" s="1">
        <v>47</v>
      </c>
      <c r="H206" s="1">
        <v>39</v>
      </c>
      <c r="I206" s="1">
        <v>16</v>
      </c>
      <c r="J206" s="2">
        <f t="shared" si="15"/>
        <v>109</v>
      </c>
      <c r="K206" s="6">
        <f t="shared" si="16"/>
        <v>27.25</v>
      </c>
      <c r="L206" s="8">
        <f t="shared" si="17"/>
        <v>27.250000000000004</v>
      </c>
      <c r="M206" s="9" t="str">
        <f t="shared" si="18"/>
        <v>Fail</v>
      </c>
      <c r="N206" s="12" t="str">
        <f t="shared" si="19"/>
        <v>F</v>
      </c>
    </row>
    <row r="207" spans="1:14" x14ac:dyDescent="0.35">
      <c r="A207" s="1">
        <v>206</v>
      </c>
      <c r="B207" s="1" t="s">
        <v>216</v>
      </c>
      <c r="C207" s="1" t="s">
        <v>13</v>
      </c>
      <c r="D207" s="1">
        <v>15</v>
      </c>
      <c r="E207" s="1" t="s">
        <v>11</v>
      </c>
      <c r="F207" s="1">
        <v>54</v>
      </c>
      <c r="G207" s="1">
        <v>89</v>
      </c>
      <c r="H207" s="1">
        <v>59</v>
      </c>
      <c r="I207" s="1">
        <v>88</v>
      </c>
      <c r="J207" s="2">
        <f t="shared" si="15"/>
        <v>290</v>
      </c>
      <c r="K207" s="6">
        <f t="shared" si="16"/>
        <v>72.5</v>
      </c>
      <c r="L207" s="8">
        <f t="shared" si="17"/>
        <v>72.5</v>
      </c>
      <c r="M207" s="9" t="str">
        <f t="shared" si="18"/>
        <v>Pass</v>
      </c>
      <c r="N207" s="12" t="str">
        <f t="shared" si="19"/>
        <v>B</v>
      </c>
    </row>
    <row r="208" spans="1:14" x14ac:dyDescent="0.35">
      <c r="A208" s="1">
        <v>207</v>
      </c>
      <c r="B208" s="1" t="s">
        <v>217</v>
      </c>
      <c r="C208" s="1" t="s">
        <v>13</v>
      </c>
      <c r="D208" s="1">
        <v>14</v>
      </c>
      <c r="E208" s="1" t="s">
        <v>11</v>
      </c>
      <c r="F208" s="1">
        <v>49</v>
      </c>
      <c r="G208" s="1">
        <v>48</v>
      </c>
      <c r="H208" s="1">
        <v>81</v>
      </c>
      <c r="I208" s="1">
        <v>44</v>
      </c>
      <c r="J208" s="2">
        <f t="shared" si="15"/>
        <v>222</v>
      </c>
      <c r="K208" s="6">
        <f t="shared" si="16"/>
        <v>55.5</v>
      </c>
      <c r="L208" s="8">
        <f t="shared" si="17"/>
        <v>55.500000000000007</v>
      </c>
      <c r="M208" s="9" t="str">
        <f t="shared" si="18"/>
        <v>Pass</v>
      </c>
      <c r="N208" s="12" t="str">
        <f t="shared" si="19"/>
        <v>C</v>
      </c>
    </row>
    <row r="209" spans="1:14" x14ac:dyDescent="0.35">
      <c r="A209" s="1">
        <v>208</v>
      </c>
      <c r="B209" s="1" t="s">
        <v>218</v>
      </c>
      <c r="C209" s="1" t="s">
        <v>13</v>
      </c>
      <c r="D209" s="1">
        <v>13</v>
      </c>
      <c r="E209" s="1" t="s">
        <v>18</v>
      </c>
      <c r="F209" s="1">
        <v>56</v>
      </c>
      <c r="G209" s="1">
        <v>12</v>
      </c>
      <c r="H209" s="1">
        <v>75</v>
      </c>
      <c r="I209" s="1">
        <v>96</v>
      </c>
      <c r="J209" s="2">
        <f t="shared" si="15"/>
        <v>239</v>
      </c>
      <c r="K209" s="6">
        <f t="shared" si="16"/>
        <v>59.75</v>
      </c>
      <c r="L209" s="8">
        <f t="shared" si="17"/>
        <v>59.75</v>
      </c>
      <c r="M209" s="9" t="str">
        <f t="shared" si="18"/>
        <v>Fail</v>
      </c>
      <c r="N209" s="12" t="str">
        <f t="shared" si="19"/>
        <v>C</v>
      </c>
    </row>
    <row r="210" spans="1:14" x14ac:dyDescent="0.35">
      <c r="A210" s="1">
        <v>209</v>
      </c>
      <c r="B210" s="1" t="s">
        <v>219</v>
      </c>
      <c r="C210" s="1" t="s">
        <v>10</v>
      </c>
      <c r="D210" s="1">
        <v>14</v>
      </c>
      <c r="E210" s="1" t="s">
        <v>11</v>
      </c>
      <c r="F210" s="1">
        <v>59</v>
      </c>
      <c r="G210" s="1">
        <v>94</v>
      </c>
      <c r="H210" s="1">
        <v>94</v>
      </c>
      <c r="I210" s="1">
        <v>47</v>
      </c>
      <c r="J210" s="2">
        <f t="shared" si="15"/>
        <v>294</v>
      </c>
      <c r="K210" s="6">
        <f t="shared" si="16"/>
        <v>73.5</v>
      </c>
      <c r="L210" s="8">
        <f t="shared" si="17"/>
        <v>73.5</v>
      </c>
      <c r="M210" s="9" t="str">
        <f t="shared" si="18"/>
        <v>Pass</v>
      </c>
      <c r="N210" s="12" t="str">
        <f t="shared" si="19"/>
        <v>B</v>
      </c>
    </row>
    <row r="211" spans="1:14" x14ac:dyDescent="0.35">
      <c r="A211" s="1">
        <v>210</v>
      </c>
      <c r="B211" s="1" t="s">
        <v>220</v>
      </c>
      <c r="C211" s="1" t="s">
        <v>13</v>
      </c>
      <c r="D211" s="1">
        <v>13</v>
      </c>
      <c r="E211" s="1" t="s">
        <v>18</v>
      </c>
      <c r="F211" s="1">
        <v>7</v>
      </c>
      <c r="G211" s="1">
        <v>29</v>
      </c>
      <c r="H211" s="1">
        <v>30</v>
      </c>
      <c r="I211" s="1">
        <v>23</v>
      </c>
      <c r="J211" s="2">
        <f t="shared" si="15"/>
        <v>89</v>
      </c>
      <c r="K211" s="6">
        <f t="shared" si="16"/>
        <v>22.25</v>
      </c>
      <c r="L211" s="8">
        <f t="shared" si="17"/>
        <v>22.25</v>
      </c>
      <c r="M211" s="9" t="str">
        <f t="shared" si="18"/>
        <v>Fail</v>
      </c>
      <c r="N211" s="12" t="str">
        <f t="shared" si="19"/>
        <v>F</v>
      </c>
    </row>
    <row r="212" spans="1:14" x14ac:dyDescent="0.35">
      <c r="A212" s="1">
        <v>211</v>
      </c>
      <c r="B212" s="1" t="s">
        <v>221</v>
      </c>
      <c r="C212" s="1" t="s">
        <v>13</v>
      </c>
      <c r="D212" s="1">
        <v>14</v>
      </c>
      <c r="E212" s="1" t="s">
        <v>18</v>
      </c>
      <c r="F212" s="1">
        <v>28</v>
      </c>
      <c r="G212" s="1">
        <v>30</v>
      </c>
      <c r="H212" s="1">
        <v>80</v>
      </c>
      <c r="I212" s="1">
        <v>33</v>
      </c>
      <c r="J212" s="2">
        <f t="shared" si="15"/>
        <v>171</v>
      </c>
      <c r="K212" s="6">
        <f t="shared" si="16"/>
        <v>42.75</v>
      </c>
      <c r="L212" s="8">
        <f t="shared" si="17"/>
        <v>42.75</v>
      </c>
      <c r="M212" s="9" t="str">
        <f t="shared" si="18"/>
        <v>Fail</v>
      </c>
      <c r="N212" s="12" t="str">
        <f t="shared" si="19"/>
        <v>D</v>
      </c>
    </row>
    <row r="213" spans="1:14" x14ac:dyDescent="0.35">
      <c r="A213" s="1">
        <v>212</v>
      </c>
      <c r="B213" s="1" t="s">
        <v>222</v>
      </c>
      <c r="C213" s="1" t="s">
        <v>13</v>
      </c>
      <c r="D213" s="1">
        <v>15</v>
      </c>
      <c r="E213" s="1" t="s">
        <v>18</v>
      </c>
      <c r="F213" s="1">
        <v>85</v>
      </c>
      <c r="G213" s="1">
        <v>8</v>
      </c>
      <c r="H213" s="1">
        <v>88</v>
      </c>
      <c r="I213" s="1">
        <v>82</v>
      </c>
      <c r="J213" s="2">
        <f t="shared" si="15"/>
        <v>263</v>
      </c>
      <c r="K213" s="6">
        <f t="shared" si="16"/>
        <v>65.75</v>
      </c>
      <c r="L213" s="8">
        <f t="shared" si="17"/>
        <v>65.75</v>
      </c>
      <c r="M213" s="9" t="str">
        <f t="shared" si="18"/>
        <v>Fail</v>
      </c>
      <c r="N213" s="12" t="str">
        <f t="shared" si="19"/>
        <v>B</v>
      </c>
    </row>
    <row r="214" spans="1:14" x14ac:dyDescent="0.35">
      <c r="A214" s="1">
        <v>213</v>
      </c>
      <c r="B214" s="1" t="s">
        <v>223</v>
      </c>
      <c r="C214" s="1" t="s">
        <v>13</v>
      </c>
      <c r="D214" s="1">
        <v>15</v>
      </c>
      <c r="E214" s="1" t="s">
        <v>11</v>
      </c>
      <c r="F214" s="1">
        <v>63</v>
      </c>
      <c r="G214" s="1">
        <v>92</v>
      </c>
      <c r="H214" s="1">
        <v>38</v>
      </c>
      <c r="I214" s="1">
        <v>60</v>
      </c>
      <c r="J214" s="2">
        <f t="shared" si="15"/>
        <v>253</v>
      </c>
      <c r="K214" s="6">
        <f t="shared" si="16"/>
        <v>63.25</v>
      </c>
      <c r="L214" s="8">
        <f t="shared" si="17"/>
        <v>63.249999999999993</v>
      </c>
      <c r="M214" s="9" t="str">
        <f t="shared" si="18"/>
        <v>Pass</v>
      </c>
      <c r="N214" s="12" t="str">
        <f t="shared" si="19"/>
        <v>B</v>
      </c>
    </row>
    <row r="215" spans="1:14" x14ac:dyDescent="0.35">
      <c r="A215" s="1">
        <v>214</v>
      </c>
      <c r="B215" s="1" t="s">
        <v>224</v>
      </c>
      <c r="C215" s="1" t="s">
        <v>10</v>
      </c>
      <c r="D215" s="1">
        <v>15</v>
      </c>
      <c r="E215" s="1" t="s">
        <v>18</v>
      </c>
      <c r="F215" s="1">
        <v>87</v>
      </c>
      <c r="G215" s="1">
        <v>17</v>
      </c>
      <c r="H215" s="1">
        <v>94</v>
      </c>
      <c r="I215" s="1">
        <v>41</v>
      </c>
      <c r="J215" s="2">
        <f t="shared" si="15"/>
        <v>239</v>
      </c>
      <c r="K215" s="6">
        <f t="shared" si="16"/>
        <v>59.75</v>
      </c>
      <c r="L215" s="8">
        <f t="shared" si="17"/>
        <v>59.75</v>
      </c>
      <c r="M215" s="9" t="str">
        <f t="shared" si="18"/>
        <v>Fail</v>
      </c>
      <c r="N215" s="12" t="str">
        <f t="shared" si="19"/>
        <v>C</v>
      </c>
    </row>
    <row r="216" spans="1:14" x14ac:dyDescent="0.35">
      <c r="A216" s="1">
        <v>215</v>
      </c>
      <c r="B216" s="1" t="s">
        <v>225</v>
      </c>
      <c r="C216" s="1" t="s">
        <v>13</v>
      </c>
      <c r="D216" s="1">
        <v>13</v>
      </c>
      <c r="E216" s="1" t="s">
        <v>11</v>
      </c>
      <c r="F216" s="1">
        <v>68</v>
      </c>
      <c r="G216" s="1">
        <v>79</v>
      </c>
      <c r="H216" s="1">
        <v>71</v>
      </c>
      <c r="I216" s="1">
        <v>41</v>
      </c>
      <c r="J216" s="2">
        <f t="shared" si="15"/>
        <v>259</v>
      </c>
      <c r="K216" s="6">
        <f t="shared" si="16"/>
        <v>64.75</v>
      </c>
      <c r="L216" s="8">
        <f t="shared" si="17"/>
        <v>64.75</v>
      </c>
      <c r="M216" s="9" t="str">
        <f t="shared" si="18"/>
        <v>Pass</v>
      </c>
      <c r="N216" s="12" t="str">
        <f t="shared" si="19"/>
        <v>B</v>
      </c>
    </row>
    <row r="217" spans="1:14" x14ac:dyDescent="0.35">
      <c r="A217" s="1">
        <v>216</v>
      </c>
      <c r="B217" s="1" t="s">
        <v>226</v>
      </c>
      <c r="C217" s="1" t="s">
        <v>13</v>
      </c>
      <c r="D217" s="1">
        <v>15</v>
      </c>
      <c r="E217" s="1" t="s">
        <v>18</v>
      </c>
      <c r="F217" s="1">
        <v>5</v>
      </c>
      <c r="G217" s="1">
        <v>86</v>
      </c>
      <c r="H217" s="1">
        <v>48</v>
      </c>
      <c r="I217" s="1">
        <v>57</v>
      </c>
      <c r="J217" s="2">
        <f t="shared" si="15"/>
        <v>196</v>
      </c>
      <c r="K217" s="6">
        <f t="shared" si="16"/>
        <v>49</v>
      </c>
      <c r="L217" s="8">
        <f t="shared" si="17"/>
        <v>49</v>
      </c>
      <c r="M217" s="9" t="str">
        <f t="shared" si="18"/>
        <v>Fail</v>
      </c>
      <c r="N217" s="12" t="str">
        <f t="shared" si="19"/>
        <v>D</v>
      </c>
    </row>
    <row r="218" spans="1:14" x14ac:dyDescent="0.35">
      <c r="A218" s="1">
        <v>217</v>
      </c>
      <c r="B218" s="1" t="s">
        <v>227</v>
      </c>
      <c r="C218" s="1" t="s">
        <v>10</v>
      </c>
      <c r="D218" s="1">
        <v>14</v>
      </c>
      <c r="E218" s="1" t="s">
        <v>18</v>
      </c>
      <c r="F218" s="1">
        <v>71</v>
      </c>
      <c r="G218" s="1">
        <v>88</v>
      </c>
      <c r="H218" s="1">
        <v>44</v>
      </c>
      <c r="I218" s="1">
        <v>13</v>
      </c>
      <c r="J218" s="2">
        <f t="shared" si="15"/>
        <v>216</v>
      </c>
      <c r="K218" s="6">
        <f t="shared" si="16"/>
        <v>54</v>
      </c>
      <c r="L218" s="8">
        <f t="shared" si="17"/>
        <v>54</v>
      </c>
      <c r="M218" s="9" t="str">
        <f t="shared" si="18"/>
        <v>Fail</v>
      </c>
      <c r="N218" s="12" t="str">
        <f t="shared" si="19"/>
        <v>C</v>
      </c>
    </row>
    <row r="219" spans="1:14" x14ac:dyDescent="0.35">
      <c r="A219" s="1">
        <v>218</v>
      </c>
      <c r="B219" s="1" t="s">
        <v>228</v>
      </c>
      <c r="C219" s="1" t="s">
        <v>13</v>
      </c>
      <c r="D219" s="1">
        <v>13</v>
      </c>
      <c r="E219" s="1" t="s">
        <v>14</v>
      </c>
      <c r="F219" s="1">
        <v>72</v>
      </c>
      <c r="G219" s="1">
        <v>46</v>
      </c>
      <c r="H219" s="1">
        <v>40</v>
      </c>
      <c r="I219" s="1">
        <v>90</v>
      </c>
      <c r="J219" s="2">
        <f t="shared" si="15"/>
        <v>248</v>
      </c>
      <c r="K219" s="6">
        <f t="shared" si="16"/>
        <v>62</v>
      </c>
      <c r="L219" s="8">
        <f t="shared" si="17"/>
        <v>62</v>
      </c>
      <c r="M219" s="9" t="str">
        <f t="shared" si="18"/>
        <v>Pass</v>
      </c>
      <c r="N219" s="12" t="str">
        <f t="shared" si="19"/>
        <v>B</v>
      </c>
    </row>
    <row r="220" spans="1:14" x14ac:dyDescent="0.35">
      <c r="A220" s="1">
        <v>219</v>
      </c>
      <c r="B220" s="1" t="s">
        <v>229</v>
      </c>
      <c r="C220" s="1" t="s">
        <v>13</v>
      </c>
      <c r="D220" s="1">
        <v>14</v>
      </c>
      <c r="E220" s="1" t="s">
        <v>11</v>
      </c>
      <c r="F220" s="1">
        <v>58</v>
      </c>
      <c r="G220" s="1">
        <v>60</v>
      </c>
      <c r="H220" s="1">
        <v>7</v>
      </c>
      <c r="I220" s="1">
        <v>90</v>
      </c>
      <c r="J220" s="2">
        <f t="shared" si="15"/>
        <v>215</v>
      </c>
      <c r="K220" s="6">
        <f t="shared" si="16"/>
        <v>53.75</v>
      </c>
      <c r="L220" s="8">
        <f t="shared" si="17"/>
        <v>53.75</v>
      </c>
      <c r="M220" s="9" t="str">
        <f t="shared" si="18"/>
        <v>Fail</v>
      </c>
      <c r="N220" s="12" t="str">
        <f t="shared" si="19"/>
        <v>C</v>
      </c>
    </row>
    <row r="221" spans="1:14" x14ac:dyDescent="0.35">
      <c r="A221" s="1">
        <v>220</v>
      </c>
      <c r="B221" s="1" t="s">
        <v>230</v>
      </c>
      <c r="C221" s="1" t="s">
        <v>13</v>
      </c>
      <c r="D221" s="1">
        <v>13</v>
      </c>
      <c r="E221" s="1" t="s">
        <v>14</v>
      </c>
      <c r="F221" s="1">
        <v>81</v>
      </c>
      <c r="G221" s="1">
        <v>63</v>
      </c>
      <c r="H221" s="1">
        <v>16</v>
      </c>
      <c r="I221" s="1">
        <v>62</v>
      </c>
      <c r="J221" s="2">
        <f t="shared" si="15"/>
        <v>222</v>
      </c>
      <c r="K221" s="6">
        <f t="shared" si="16"/>
        <v>55.5</v>
      </c>
      <c r="L221" s="8">
        <f t="shared" si="17"/>
        <v>55.500000000000007</v>
      </c>
      <c r="M221" s="9" t="str">
        <f t="shared" si="18"/>
        <v>Fail</v>
      </c>
      <c r="N221" s="12" t="str">
        <f t="shared" si="19"/>
        <v>C</v>
      </c>
    </row>
    <row r="222" spans="1:14" x14ac:dyDescent="0.35">
      <c r="A222" s="1">
        <v>221</v>
      </c>
      <c r="B222" s="1" t="s">
        <v>231</v>
      </c>
      <c r="C222" s="1" t="s">
        <v>13</v>
      </c>
      <c r="D222" s="1">
        <v>14</v>
      </c>
      <c r="E222" s="1" t="s">
        <v>18</v>
      </c>
      <c r="F222" s="1">
        <v>6</v>
      </c>
      <c r="G222" s="1">
        <v>53</v>
      </c>
      <c r="H222" s="1">
        <v>71</v>
      </c>
      <c r="I222" s="1">
        <v>21</v>
      </c>
      <c r="J222" s="2">
        <f t="shared" si="15"/>
        <v>151</v>
      </c>
      <c r="K222" s="6">
        <f t="shared" si="16"/>
        <v>37.75</v>
      </c>
      <c r="L222" s="8">
        <f t="shared" si="17"/>
        <v>37.75</v>
      </c>
      <c r="M222" s="9" t="str">
        <f t="shared" si="18"/>
        <v>Fail</v>
      </c>
      <c r="N222" s="12" t="str">
        <f t="shared" si="19"/>
        <v>D</v>
      </c>
    </row>
    <row r="223" spans="1:14" x14ac:dyDescent="0.35">
      <c r="A223" s="1">
        <v>222</v>
      </c>
      <c r="B223" s="1" t="s">
        <v>232</v>
      </c>
      <c r="C223" s="1" t="s">
        <v>10</v>
      </c>
      <c r="D223" s="1">
        <v>13</v>
      </c>
      <c r="E223" s="1" t="s">
        <v>18</v>
      </c>
      <c r="F223" s="1">
        <v>60</v>
      </c>
      <c r="G223" s="1">
        <v>52</v>
      </c>
      <c r="H223" s="1">
        <v>85</v>
      </c>
      <c r="I223" s="1">
        <v>39</v>
      </c>
      <c r="J223" s="2">
        <f t="shared" si="15"/>
        <v>236</v>
      </c>
      <c r="K223" s="6">
        <f t="shared" si="16"/>
        <v>59</v>
      </c>
      <c r="L223" s="8">
        <f t="shared" si="17"/>
        <v>59</v>
      </c>
      <c r="M223" s="9" t="str">
        <f t="shared" si="18"/>
        <v>Pass</v>
      </c>
      <c r="N223" s="12" t="str">
        <f t="shared" si="19"/>
        <v>C</v>
      </c>
    </row>
    <row r="224" spans="1:14" x14ac:dyDescent="0.35">
      <c r="A224" s="1">
        <v>223</v>
      </c>
      <c r="B224" s="1" t="s">
        <v>233</v>
      </c>
      <c r="C224" s="1" t="s">
        <v>10</v>
      </c>
      <c r="D224" s="1">
        <v>15</v>
      </c>
      <c r="E224" s="1" t="s">
        <v>14</v>
      </c>
      <c r="F224" s="1">
        <v>92</v>
      </c>
      <c r="G224" s="1">
        <v>76</v>
      </c>
      <c r="H224" s="1">
        <v>72</v>
      </c>
      <c r="I224" s="1">
        <v>71</v>
      </c>
      <c r="J224" s="2">
        <f t="shared" si="15"/>
        <v>311</v>
      </c>
      <c r="K224" s="6">
        <f t="shared" si="16"/>
        <v>77.75</v>
      </c>
      <c r="L224" s="8">
        <f t="shared" si="17"/>
        <v>77.75</v>
      </c>
      <c r="M224" s="9" t="str">
        <f t="shared" si="18"/>
        <v>Pass</v>
      </c>
      <c r="N224" s="12" t="str">
        <f t="shared" si="19"/>
        <v>A</v>
      </c>
    </row>
    <row r="225" spans="1:14" x14ac:dyDescent="0.35">
      <c r="A225" s="1">
        <v>224</v>
      </c>
      <c r="B225" s="1" t="s">
        <v>234</v>
      </c>
      <c r="C225" s="1" t="s">
        <v>10</v>
      </c>
      <c r="D225" s="1">
        <v>13</v>
      </c>
      <c r="E225" s="1" t="s">
        <v>18</v>
      </c>
      <c r="F225" s="1">
        <v>100</v>
      </c>
      <c r="G225" s="1">
        <v>95</v>
      </c>
      <c r="H225" s="1">
        <v>36</v>
      </c>
      <c r="I225" s="1">
        <v>10</v>
      </c>
      <c r="J225" s="2">
        <f t="shared" si="15"/>
        <v>241</v>
      </c>
      <c r="K225" s="6">
        <f t="shared" si="16"/>
        <v>60.25</v>
      </c>
      <c r="L225" s="8">
        <f t="shared" si="17"/>
        <v>60.25</v>
      </c>
      <c r="M225" s="9" t="str">
        <f t="shared" si="18"/>
        <v>Fail</v>
      </c>
      <c r="N225" s="12" t="str">
        <f t="shared" si="19"/>
        <v>B</v>
      </c>
    </row>
    <row r="226" spans="1:14" x14ac:dyDescent="0.35">
      <c r="A226" s="1">
        <v>225</v>
      </c>
      <c r="B226" s="1" t="s">
        <v>235</v>
      </c>
      <c r="C226" s="1" t="s">
        <v>10</v>
      </c>
      <c r="D226" s="1">
        <v>13</v>
      </c>
      <c r="E226" s="1" t="s">
        <v>11</v>
      </c>
      <c r="F226" s="1">
        <v>84</v>
      </c>
      <c r="G226" s="1">
        <v>10</v>
      </c>
      <c r="H226" s="1">
        <v>82</v>
      </c>
      <c r="I226" s="1">
        <v>93</v>
      </c>
      <c r="J226" s="2">
        <f t="shared" si="15"/>
        <v>269</v>
      </c>
      <c r="K226" s="6">
        <f t="shared" si="16"/>
        <v>67.25</v>
      </c>
      <c r="L226" s="8">
        <f t="shared" si="17"/>
        <v>67.25</v>
      </c>
      <c r="M226" s="9" t="str">
        <f t="shared" si="18"/>
        <v>Fail</v>
      </c>
      <c r="N226" s="12" t="str">
        <f t="shared" si="19"/>
        <v>B</v>
      </c>
    </row>
    <row r="227" spans="1:14" x14ac:dyDescent="0.35">
      <c r="A227" s="1">
        <v>226</v>
      </c>
      <c r="B227" s="1" t="s">
        <v>236</v>
      </c>
      <c r="C227" s="1" t="s">
        <v>10</v>
      </c>
      <c r="D227" s="1">
        <v>15</v>
      </c>
      <c r="E227" s="1" t="s">
        <v>14</v>
      </c>
      <c r="F227" s="1">
        <v>16</v>
      </c>
      <c r="G227" s="1">
        <v>4</v>
      </c>
      <c r="H227" s="1">
        <v>49</v>
      </c>
      <c r="I227" s="1">
        <v>1</v>
      </c>
      <c r="J227" s="2">
        <f t="shared" si="15"/>
        <v>70</v>
      </c>
      <c r="K227" s="6">
        <f t="shared" si="16"/>
        <v>17.5</v>
      </c>
      <c r="L227" s="8">
        <f t="shared" si="17"/>
        <v>17.5</v>
      </c>
      <c r="M227" s="9" t="str">
        <f t="shared" si="18"/>
        <v>Fail</v>
      </c>
      <c r="N227" s="12" t="str">
        <f t="shared" si="19"/>
        <v>F</v>
      </c>
    </row>
    <row r="228" spans="1:14" x14ac:dyDescent="0.35">
      <c r="A228" s="1">
        <v>227</v>
      </c>
      <c r="B228" s="1" t="s">
        <v>237</v>
      </c>
      <c r="C228" s="1" t="s">
        <v>10</v>
      </c>
      <c r="D228" s="1">
        <v>14</v>
      </c>
      <c r="E228" s="1" t="s">
        <v>11</v>
      </c>
      <c r="F228" s="1">
        <v>22</v>
      </c>
      <c r="G228" s="1">
        <v>26</v>
      </c>
      <c r="H228" s="1">
        <v>1</v>
      </c>
      <c r="I228" s="1">
        <v>28</v>
      </c>
      <c r="J228" s="2">
        <f t="shared" si="15"/>
        <v>77</v>
      </c>
      <c r="K228" s="6">
        <f t="shared" si="16"/>
        <v>19.25</v>
      </c>
      <c r="L228" s="8">
        <f t="shared" si="17"/>
        <v>19.25</v>
      </c>
      <c r="M228" s="9" t="str">
        <f t="shared" si="18"/>
        <v>Fail</v>
      </c>
      <c r="N228" s="12" t="str">
        <f t="shared" si="19"/>
        <v>F</v>
      </c>
    </row>
    <row r="229" spans="1:14" x14ac:dyDescent="0.35">
      <c r="A229" s="1">
        <v>228</v>
      </c>
      <c r="B229" s="1" t="s">
        <v>238</v>
      </c>
      <c r="C229" s="1" t="s">
        <v>10</v>
      </c>
      <c r="D229" s="1">
        <v>14</v>
      </c>
      <c r="E229" s="1" t="s">
        <v>14</v>
      </c>
      <c r="F229" s="1">
        <v>78</v>
      </c>
      <c r="G229" s="1">
        <v>63</v>
      </c>
      <c r="H229" s="1">
        <v>62</v>
      </c>
      <c r="I229" s="1">
        <v>38</v>
      </c>
      <c r="J229" s="2">
        <f t="shared" si="15"/>
        <v>241</v>
      </c>
      <c r="K229" s="6">
        <f t="shared" si="16"/>
        <v>60.25</v>
      </c>
      <c r="L229" s="8">
        <f t="shared" si="17"/>
        <v>60.25</v>
      </c>
      <c r="M229" s="9" t="str">
        <f t="shared" si="18"/>
        <v>Pass</v>
      </c>
      <c r="N229" s="12" t="str">
        <f t="shared" si="19"/>
        <v>B</v>
      </c>
    </row>
    <row r="230" spans="1:14" x14ac:dyDescent="0.35">
      <c r="A230" s="1">
        <v>229</v>
      </c>
      <c r="B230" s="1" t="s">
        <v>239</v>
      </c>
      <c r="C230" s="1" t="s">
        <v>10</v>
      </c>
      <c r="D230" s="1">
        <v>14</v>
      </c>
      <c r="E230" s="1" t="s">
        <v>11</v>
      </c>
      <c r="F230" s="1">
        <v>4</v>
      </c>
      <c r="G230" s="1">
        <v>15</v>
      </c>
      <c r="H230" s="1">
        <v>6</v>
      </c>
      <c r="I230" s="1">
        <v>32</v>
      </c>
      <c r="J230" s="2">
        <f t="shared" si="15"/>
        <v>57</v>
      </c>
      <c r="K230" s="6">
        <f t="shared" si="16"/>
        <v>14.25</v>
      </c>
      <c r="L230" s="8">
        <f t="shared" si="17"/>
        <v>14.249999999999998</v>
      </c>
      <c r="M230" s="9" t="str">
        <f t="shared" si="18"/>
        <v>Fail</v>
      </c>
      <c r="N230" s="12" t="str">
        <f t="shared" si="19"/>
        <v>F</v>
      </c>
    </row>
    <row r="231" spans="1:14" x14ac:dyDescent="0.35">
      <c r="A231" s="1">
        <v>230</v>
      </c>
      <c r="B231" s="1" t="s">
        <v>240</v>
      </c>
      <c r="C231" s="1" t="s">
        <v>13</v>
      </c>
      <c r="D231" s="1">
        <v>15</v>
      </c>
      <c r="E231" s="1" t="s">
        <v>11</v>
      </c>
      <c r="F231" s="1">
        <v>15</v>
      </c>
      <c r="G231" s="1">
        <v>26</v>
      </c>
      <c r="H231" s="1">
        <v>83</v>
      </c>
      <c r="I231" s="1">
        <v>75</v>
      </c>
      <c r="J231" s="2">
        <f t="shared" si="15"/>
        <v>199</v>
      </c>
      <c r="K231" s="6">
        <f t="shared" si="16"/>
        <v>49.75</v>
      </c>
      <c r="L231" s="8">
        <f t="shared" si="17"/>
        <v>49.75</v>
      </c>
      <c r="M231" s="9" t="str">
        <f t="shared" si="18"/>
        <v>Fail</v>
      </c>
      <c r="N231" s="12" t="str">
        <f t="shared" si="19"/>
        <v>D</v>
      </c>
    </row>
    <row r="232" spans="1:14" x14ac:dyDescent="0.35">
      <c r="A232" s="1">
        <v>231</v>
      </c>
      <c r="B232" s="1" t="s">
        <v>241</v>
      </c>
      <c r="C232" s="1" t="s">
        <v>13</v>
      </c>
      <c r="D232" s="1">
        <v>15</v>
      </c>
      <c r="E232" s="1" t="s">
        <v>14</v>
      </c>
      <c r="F232" s="1">
        <v>50</v>
      </c>
      <c r="G232" s="1">
        <v>70</v>
      </c>
      <c r="H232" s="1">
        <v>31</v>
      </c>
      <c r="I232" s="1">
        <v>98</v>
      </c>
      <c r="J232" s="2">
        <f t="shared" si="15"/>
        <v>249</v>
      </c>
      <c r="K232" s="6">
        <f t="shared" si="16"/>
        <v>62.25</v>
      </c>
      <c r="L232" s="8">
        <f t="shared" si="17"/>
        <v>62.250000000000007</v>
      </c>
      <c r="M232" s="9" t="str">
        <f t="shared" si="18"/>
        <v>Fail</v>
      </c>
      <c r="N232" s="12" t="str">
        <f t="shared" si="19"/>
        <v>B</v>
      </c>
    </row>
    <row r="233" spans="1:14" x14ac:dyDescent="0.35">
      <c r="A233" s="1">
        <v>232</v>
      </c>
      <c r="B233" s="1" t="s">
        <v>242</v>
      </c>
      <c r="C233" s="1" t="s">
        <v>13</v>
      </c>
      <c r="D233" s="1">
        <v>13</v>
      </c>
      <c r="E233" s="1" t="s">
        <v>18</v>
      </c>
      <c r="F233" s="1">
        <v>81</v>
      </c>
      <c r="G233" s="1">
        <v>45</v>
      </c>
      <c r="H233" s="1">
        <v>22</v>
      </c>
      <c r="I233" s="1">
        <v>36</v>
      </c>
      <c r="J233" s="2">
        <f t="shared" si="15"/>
        <v>184</v>
      </c>
      <c r="K233" s="6">
        <f t="shared" si="16"/>
        <v>46</v>
      </c>
      <c r="L233" s="8">
        <f t="shared" si="17"/>
        <v>46</v>
      </c>
      <c r="M233" s="9" t="str">
        <f t="shared" si="18"/>
        <v>Fail</v>
      </c>
      <c r="N233" s="12" t="str">
        <f t="shared" si="19"/>
        <v>D</v>
      </c>
    </row>
    <row r="234" spans="1:14" x14ac:dyDescent="0.35">
      <c r="A234" s="1">
        <v>233</v>
      </c>
      <c r="B234" s="1" t="s">
        <v>243</v>
      </c>
      <c r="C234" s="1" t="s">
        <v>13</v>
      </c>
      <c r="D234" s="1">
        <v>14</v>
      </c>
      <c r="E234" s="1" t="s">
        <v>14</v>
      </c>
      <c r="F234" s="1">
        <v>65</v>
      </c>
      <c r="G234" s="1">
        <v>32</v>
      </c>
      <c r="H234" s="1">
        <v>67</v>
      </c>
      <c r="I234" s="1">
        <v>35</v>
      </c>
      <c r="J234" s="2">
        <f t="shared" si="15"/>
        <v>199</v>
      </c>
      <c r="K234" s="6">
        <f t="shared" si="16"/>
        <v>49.75</v>
      </c>
      <c r="L234" s="8">
        <f t="shared" si="17"/>
        <v>49.75</v>
      </c>
      <c r="M234" s="9" t="str">
        <f t="shared" si="18"/>
        <v>Fail</v>
      </c>
      <c r="N234" s="12" t="str">
        <f t="shared" si="19"/>
        <v>D</v>
      </c>
    </row>
    <row r="235" spans="1:14" x14ac:dyDescent="0.35">
      <c r="A235" s="1">
        <v>234</v>
      </c>
      <c r="B235" s="1" t="s">
        <v>244</v>
      </c>
      <c r="C235" s="1" t="s">
        <v>13</v>
      </c>
      <c r="D235" s="1">
        <v>15</v>
      </c>
      <c r="E235" s="1" t="s">
        <v>11</v>
      </c>
      <c r="F235" s="1">
        <v>91</v>
      </c>
      <c r="G235" s="1">
        <v>33</v>
      </c>
      <c r="H235" s="1">
        <v>71</v>
      </c>
      <c r="I235" s="1">
        <v>81</v>
      </c>
      <c r="J235" s="2">
        <f t="shared" si="15"/>
        <v>276</v>
      </c>
      <c r="K235" s="6">
        <f t="shared" si="16"/>
        <v>69</v>
      </c>
      <c r="L235" s="8">
        <f t="shared" si="17"/>
        <v>69</v>
      </c>
      <c r="M235" s="9" t="str">
        <f t="shared" si="18"/>
        <v>Fail</v>
      </c>
      <c r="N235" s="12" t="str">
        <f t="shared" si="19"/>
        <v>B</v>
      </c>
    </row>
    <row r="236" spans="1:14" x14ac:dyDescent="0.35">
      <c r="A236" s="1">
        <v>235</v>
      </c>
      <c r="B236" s="1" t="s">
        <v>245</v>
      </c>
      <c r="C236" s="1" t="s">
        <v>13</v>
      </c>
      <c r="D236" s="1">
        <v>13</v>
      </c>
      <c r="E236" s="1" t="s">
        <v>11</v>
      </c>
      <c r="F236" s="1">
        <v>31</v>
      </c>
      <c r="G236" s="1">
        <v>9</v>
      </c>
      <c r="H236" s="1">
        <v>79</v>
      </c>
      <c r="I236" s="1">
        <v>54</v>
      </c>
      <c r="J236" s="2">
        <f t="shared" si="15"/>
        <v>173</v>
      </c>
      <c r="K236" s="6">
        <f t="shared" si="16"/>
        <v>43.25</v>
      </c>
      <c r="L236" s="8">
        <f t="shared" si="17"/>
        <v>43.25</v>
      </c>
      <c r="M236" s="9" t="str">
        <f t="shared" si="18"/>
        <v>Fail</v>
      </c>
      <c r="N236" s="12" t="str">
        <f t="shared" si="19"/>
        <v>D</v>
      </c>
    </row>
    <row r="237" spans="1:14" x14ac:dyDescent="0.35">
      <c r="A237" s="1">
        <v>236</v>
      </c>
      <c r="B237" s="1" t="s">
        <v>246</v>
      </c>
      <c r="C237" s="1" t="s">
        <v>10</v>
      </c>
      <c r="D237" s="1">
        <v>15</v>
      </c>
      <c r="E237" s="1" t="s">
        <v>14</v>
      </c>
      <c r="F237" s="1">
        <v>98</v>
      </c>
      <c r="G237" s="1">
        <v>30</v>
      </c>
      <c r="H237" s="1">
        <v>37</v>
      </c>
      <c r="I237" s="1">
        <v>56</v>
      </c>
      <c r="J237" s="2">
        <f t="shared" si="15"/>
        <v>221</v>
      </c>
      <c r="K237" s="6">
        <f t="shared" si="16"/>
        <v>55.25</v>
      </c>
      <c r="L237" s="8">
        <f t="shared" si="17"/>
        <v>55.25</v>
      </c>
      <c r="M237" s="9" t="str">
        <f t="shared" si="18"/>
        <v>Fail</v>
      </c>
      <c r="N237" s="12" t="str">
        <f t="shared" si="19"/>
        <v>C</v>
      </c>
    </row>
    <row r="238" spans="1:14" x14ac:dyDescent="0.35">
      <c r="A238" s="1">
        <v>237</v>
      </c>
      <c r="B238" s="1" t="s">
        <v>247</v>
      </c>
      <c r="C238" s="1" t="s">
        <v>13</v>
      </c>
      <c r="D238" s="1">
        <v>15</v>
      </c>
      <c r="E238" s="1" t="s">
        <v>11</v>
      </c>
      <c r="F238" s="1">
        <v>92</v>
      </c>
      <c r="G238" s="1">
        <v>87</v>
      </c>
      <c r="H238" s="1">
        <v>38</v>
      </c>
      <c r="I238" s="1">
        <v>53</v>
      </c>
      <c r="J238" s="2">
        <f t="shared" si="15"/>
        <v>270</v>
      </c>
      <c r="K238" s="6">
        <f t="shared" si="16"/>
        <v>67.5</v>
      </c>
      <c r="L238" s="8">
        <f t="shared" si="17"/>
        <v>67.5</v>
      </c>
      <c r="M238" s="9" t="str">
        <f t="shared" si="18"/>
        <v>Pass</v>
      </c>
      <c r="N238" s="12" t="str">
        <f t="shared" si="19"/>
        <v>B</v>
      </c>
    </row>
    <row r="239" spans="1:14" x14ac:dyDescent="0.35">
      <c r="A239" s="1">
        <v>238</v>
      </c>
      <c r="B239" s="1" t="s">
        <v>248</v>
      </c>
      <c r="C239" s="1" t="s">
        <v>10</v>
      </c>
      <c r="D239" s="1">
        <v>15</v>
      </c>
      <c r="E239" s="1" t="s">
        <v>18</v>
      </c>
      <c r="F239" s="1">
        <v>54</v>
      </c>
      <c r="G239" s="1">
        <v>34</v>
      </c>
      <c r="H239" s="1">
        <v>66</v>
      </c>
      <c r="I239" s="1">
        <v>97</v>
      </c>
      <c r="J239" s="2">
        <f t="shared" si="15"/>
        <v>251</v>
      </c>
      <c r="K239" s="6">
        <f t="shared" si="16"/>
        <v>62.75</v>
      </c>
      <c r="L239" s="8">
        <f t="shared" si="17"/>
        <v>62.749999999999993</v>
      </c>
      <c r="M239" s="9" t="str">
        <f t="shared" si="18"/>
        <v>Fail</v>
      </c>
      <c r="N239" s="12" t="str">
        <f t="shared" si="19"/>
        <v>B</v>
      </c>
    </row>
    <row r="240" spans="1:14" x14ac:dyDescent="0.35">
      <c r="A240" s="1">
        <v>239</v>
      </c>
      <c r="B240" s="1" t="s">
        <v>249</v>
      </c>
      <c r="C240" s="1" t="s">
        <v>10</v>
      </c>
      <c r="D240" s="1">
        <v>14</v>
      </c>
      <c r="E240" s="1" t="s">
        <v>18</v>
      </c>
      <c r="F240" s="1">
        <v>49</v>
      </c>
      <c r="G240" s="1">
        <v>47</v>
      </c>
      <c r="H240" s="1">
        <v>19</v>
      </c>
      <c r="I240" s="1">
        <v>55</v>
      </c>
      <c r="J240" s="2">
        <f t="shared" si="15"/>
        <v>170</v>
      </c>
      <c r="K240" s="6">
        <f t="shared" si="16"/>
        <v>42.5</v>
      </c>
      <c r="L240" s="8">
        <f t="shared" si="17"/>
        <v>42.5</v>
      </c>
      <c r="M240" s="9" t="str">
        <f t="shared" si="18"/>
        <v>Fail</v>
      </c>
      <c r="N240" s="12" t="str">
        <f t="shared" si="19"/>
        <v>D</v>
      </c>
    </row>
    <row r="241" spans="1:14" x14ac:dyDescent="0.35">
      <c r="A241" s="1">
        <v>240</v>
      </c>
      <c r="B241" s="1" t="s">
        <v>250</v>
      </c>
      <c r="C241" s="1" t="s">
        <v>13</v>
      </c>
      <c r="D241" s="1">
        <v>15</v>
      </c>
      <c r="E241" s="1" t="s">
        <v>11</v>
      </c>
      <c r="F241" s="1">
        <v>2</v>
      </c>
      <c r="G241" s="1">
        <v>4</v>
      </c>
      <c r="H241" s="1">
        <v>48</v>
      </c>
      <c r="I241" s="1">
        <v>46</v>
      </c>
      <c r="J241" s="2">
        <f t="shared" si="15"/>
        <v>100</v>
      </c>
      <c r="K241" s="6">
        <f t="shared" si="16"/>
        <v>25</v>
      </c>
      <c r="L241" s="8">
        <f t="shared" si="17"/>
        <v>25</v>
      </c>
      <c r="M241" s="9" t="str">
        <f t="shared" si="18"/>
        <v>Fail</v>
      </c>
      <c r="N241" s="12" t="str">
        <f t="shared" si="19"/>
        <v>F</v>
      </c>
    </row>
    <row r="242" spans="1:14" x14ac:dyDescent="0.35">
      <c r="A242" s="1">
        <v>241</v>
      </c>
      <c r="B242" s="1" t="s">
        <v>251</v>
      </c>
      <c r="C242" s="1" t="s">
        <v>13</v>
      </c>
      <c r="D242" s="1">
        <v>14</v>
      </c>
      <c r="E242" s="1" t="s">
        <v>11</v>
      </c>
      <c r="F242" s="1">
        <v>76</v>
      </c>
      <c r="G242" s="1">
        <v>15</v>
      </c>
      <c r="H242" s="1">
        <v>70</v>
      </c>
      <c r="I242" s="1">
        <v>35</v>
      </c>
      <c r="J242" s="2">
        <f t="shared" si="15"/>
        <v>196</v>
      </c>
      <c r="K242" s="6">
        <f t="shared" si="16"/>
        <v>49</v>
      </c>
      <c r="L242" s="8">
        <f t="shared" si="17"/>
        <v>49</v>
      </c>
      <c r="M242" s="9" t="str">
        <f t="shared" si="18"/>
        <v>Fail</v>
      </c>
      <c r="N242" s="12" t="str">
        <f t="shared" si="19"/>
        <v>D</v>
      </c>
    </row>
    <row r="243" spans="1:14" x14ac:dyDescent="0.35">
      <c r="A243" s="1">
        <v>242</v>
      </c>
      <c r="B243" s="1" t="s">
        <v>252</v>
      </c>
      <c r="C243" s="1" t="s">
        <v>13</v>
      </c>
      <c r="D243" s="1">
        <v>15</v>
      </c>
      <c r="E243" s="1" t="s">
        <v>11</v>
      </c>
      <c r="F243" s="1">
        <v>3</v>
      </c>
      <c r="G243" s="1">
        <v>49</v>
      </c>
      <c r="H243" s="1">
        <v>67</v>
      </c>
      <c r="I243" s="1">
        <v>96</v>
      </c>
      <c r="J243" s="2">
        <f t="shared" si="15"/>
        <v>215</v>
      </c>
      <c r="K243" s="6">
        <f t="shared" si="16"/>
        <v>53.75</v>
      </c>
      <c r="L243" s="8">
        <f t="shared" si="17"/>
        <v>53.75</v>
      </c>
      <c r="M243" s="9" t="str">
        <f t="shared" si="18"/>
        <v>Fail</v>
      </c>
      <c r="N243" s="12" t="str">
        <f t="shared" si="19"/>
        <v>C</v>
      </c>
    </row>
    <row r="244" spans="1:14" x14ac:dyDescent="0.35">
      <c r="A244" s="1">
        <v>243</v>
      </c>
      <c r="B244" s="1" t="s">
        <v>253</v>
      </c>
      <c r="C244" s="1" t="s">
        <v>10</v>
      </c>
      <c r="D244" s="1">
        <v>13</v>
      </c>
      <c r="E244" s="1" t="s">
        <v>14</v>
      </c>
      <c r="F244" s="1">
        <v>17</v>
      </c>
      <c r="G244" s="1">
        <v>24</v>
      </c>
      <c r="H244" s="1">
        <v>41</v>
      </c>
      <c r="I244" s="1">
        <v>21</v>
      </c>
      <c r="J244" s="2">
        <f t="shared" si="15"/>
        <v>103</v>
      </c>
      <c r="K244" s="6">
        <f t="shared" si="16"/>
        <v>25.75</v>
      </c>
      <c r="L244" s="8">
        <f t="shared" si="17"/>
        <v>25.75</v>
      </c>
      <c r="M244" s="9" t="str">
        <f t="shared" si="18"/>
        <v>Fail</v>
      </c>
      <c r="N244" s="12" t="str">
        <f t="shared" si="19"/>
        <v>F</v>
      </c>
    </row>
    <row r="245" spans="1:14" x14ac:dyDescent="0.35">
      <c r="A245" s="1">
        <v>244</v>
      </c>
      <c r="B245" s="1" t="s">
        <v>254</v>
      </c>
      <c r="C245" s="1" t="s">
        <v>13</v>
      </c>
      <c r="D245" s="1">
        <v>13</v>
      </c>
      <c r="E245" s="1" t="s">
        <v>11</v>
      </c>
      <c r="F245" s="1">
        <v>95</v>
      </c>
      <c r="G245" s="1">
        <v>63</v>
      </c>
      <c r="H245" s="1">
        <v>65</v>
      </c>
      <c r="I245" s="1">
        <v>71</v>
      </c>
      <c r="J245" s="2">
        <f t="shared" si="15"/>
        <v>294</v>
      </c>
      <c r="K245" s="6">
        <f t="shared" si="16"/>
        <v>73.5</v>
      </c>
      <c r="L245" s="8">
        <f t="shared" si="17"/>
        <v>73.5</v>
      </c>
      <c r="M245" s="9" t="str">
        <f t="shared" si="18"/>
        <v>Pass</v>
      </c>
      <c r="N245" s="12" t="str">
        <f t="shared" si="19"/>
        <v>B</v>
      </c>
    </row>
    <row r="246" spans="1:14" x14ac:dyDescent="0.35">
      <c r="A246" s="1">
        <v>245</v>
      </c>
      <c r="B246" s="1" t="s">
        <v>255</v>
      </c>
      <c r="C246" s="1" t="s">
        <v>10</v>
      </c>
      <c r="D246" s="1">
        <v>15</v>
      </c>
      <c r="E246" s="1" t="s">
        <v>11</v>
      </c>
      <c r="F246" s="1">
        <v>11</v>
      </c>
      <c r="G246" s="1">
        <v>53</v>
      </c>
      <c r="H246" s="1">
        <v>15</v>
      </c>
      <c r="I246" s="1">
        <v>13</v>
      </c>
      <c r="J246" s="2">
        <f t="shared" si="15"/>
        <v>92</v>
      </c>
      <c r="K246" s="6">
        <f t="shared" si="16"/>
        <v>23</v>
      </c>
      <c r="L246" s="8">
        <f t="shared" si="17"/>
        <v>23</v>
      </c>
      <c r="M246" s="9" t="str">
        <f t="shared" si="18"/>
        <v>Fail</v>
      </c>
      <c r="N246" s="12" t="str">
        <f t="shared" si="19"/>
        <v>F</v>
      </c>
    </row>
    <row r="247" spans="1:14" x14ac:dyDescent="0.35">
      <c r="A247" s="1">
        <v>246</v>
      </c>
      <c r="B247" s="1" t="s">
        <v>256</v>
      </c>
      <c r="C247" s="1" t="s">
        <v>13</v>
      </c>
      <c r="D247" s="1">
        <v>13</v>
      </c>
      <c r="E247" s="1" t="s">
        <v>11</v>
      </c>
      <c r="F247" s="1">
        <v>28</v>
      </c>
      <c r="G247" s="1">
        <v>15</v>
      </c>
      <c r="H247" s="1">
        <v>25</v>
      </c>
      <c r="I247" s="1">
        <v>10</v>
      </c>
      <c r="J247" s="2">
        <f t="shared" si="15"/>
        <v>78</v>
      </c>
      <c r="K247" s="6">
        <f t="shared" si="16"/>
        <v>19.5</v>
      </c>
      <c r="L247" s="8">
        <f t="shared" si="17"/>
        <v>19.5</v>
      </c>
      <c r="M247" s="9" t="str">
        <f t="shared" si="18"/>
        <v>Fail</v>
      </c>
      <c r="N247" s="12" t="str">
        <f t="shared" si="19"/>
        <v>F</v>
      </c>
    </row>
    <row r="248" spans="1:14" x14ac:dyDescent="0.35">
      <c r="A248" s="1">
        <v>247</v>
      </c>
      <c r="B248" s="1" t="s">
        <v>257</v>
      </c>
      <c r="C248" s="1" t="s">
        <v>10</v>
      </c>
      <c r="D248" s="1">
        <v>13</v>
      </c>
      <c r="E248" s="1" t="s">
        <v>14</v>
      </c>
      <c r="F248" s="1">
        <v>1</v>
      </c>
      <c r="G248" s="1">
        <v>4</v>
      </c>
      <c r="H248" s="1">
        <v>68</v>
      </c>
      <c r="I248" s="1">
        <v>65</v>
      </c>
      <c r="J248" s="2">
        <f t="shared" si="15"/>
        <v>138</v>
      </c>
      <c r="K248" s="6">
        <f t="shared" si="16"/>
        <v>34.5</v>
      </c>
      <c r="L248" s="8">
        <f t="shared" si="17"/>
        <v>34.5</v>
      </c>
      <c r="M248" s="9" t="str">
        <f t="shared" si="18"/>
        <v>Fail</v>
      </c>
      <c r="N248" s="12" t="str">
        <f t="shared" si="19"/>
        <v>F</v>
      </c>
    </row>
    <row r="249" spans="1:14" x14ac:dyDescent="0.35">
      <c r="A249" s="1">
        <v>248</v>
      </c>
      <c r="B249" s="1" t="s">
        <v>258</v>
      </c>
      <c r="C249" s="1" t="s">
        <v>13</v>
      </c>
      <c r="D249" s="1">
        <v>15</v>
      </c>
      <c r="E249" s="1" t="s">
        <v>14</v>
      </c>
      <c r="F249" s="1">
        <v>93</v>
      </c>
      <c r="G249" s="1">
        <v>48</v>
      </c>
      <c r="H249" s="1">
        <v>82</v>
      </c>
      <c r="I249" s="1">
        <v>44</v>
      </c>
      <c r="J249" s="2">
        <f t="shared" si="15"/>
        <v>267</v>
      </c>
      <c r="K249" s="6">
        <f t="shared" si="16"/>
        <v>66.75</v>
      </c>
      <c r="L249" s="8">
        <f t="shared" si="17"/>
        <v>66.75</v>
      </c>
      <c r="M249" s="9" t="str">
        <f t="shared" si="18"/>
        <v>Pass</v>
      </c>
      <c r="N249" s="12" t="str">
        <f t="shared" si="19"/>
        <v>B</v>
      </c>
    </row>
    <row r="250" spans="1:14" x14ac:dyDescent="0.35">
      <c r="A250" s="1">
        <v>249</v>
      </c>
      <c r="B250" s="1" t="s">
        <v>259</v>
      </c>
      <c r="C250" s="1" t="s">
        <v>10</v>
      </c>
      <c r="D250" s="1">
        <v>14</v>
      </c>
      <c r="E250" s="1" t="s">
        <v>14</v>
      </c>
      <c r="F250" s="1">
        <v>35</v>
      </c>
      <c r="G250" s="1">
        <v>73</v>
      </c>
      <c r="H250" s="1">
        <v>66</v>
      </c>
      <c r="I250" s="1">
        <v>59</v>
      </c>
      <c r="J250" s="2">
        <f t="shared" si="15"/>
        <v>233</v>
      </c>
      <c r="K250" s="6">
        <f t="shared" si="16"/>
        <v>58.25</v>
      </c>
      <c r="L250" s="8">
        <f t="shared" si="17"/>
        <v>58.25</v>
      </c>
      <c r="M250" s="9" t="str">
        <f t="shared" si="18"/>
        <v>Pass</v>
      </c>
      <c r="N250" s="12" t="str">
        <f t="shared" si="19"/>
        <v>C</v>
      </c>
    </row>
    <row r="251" spans="1:14" x14ac:dyDescent="0.35">
      <c r="A251" s="1">
        <v>250</v>
      </c>
      <c r="B251" s="1" t="s">
        <v>260</v>
      </c>
      <c r="C251" s="1" t="s">
        <v>13</v>
      </c>
      <c r="D251" s="1">
        <v>15</v>
      </c>
      <c r="E251" s="1" t="s">
        <v>14</v>
      </c>
      <c r="F251" s="1">
        <v>50</v>
      </c>
      <c r="G251" s="1">
        <v>8</v>
      </c>
      <c r="H251" s="1">
        <v>80</v>
      </c>
      <c r="I251" s="1">
        <v>78</v>
      </c>
      <c r="J251" s="2">
        <f t="shared" si="15"/>
        <v>216</v>
      </c>
      <c r="K251" s="6">
        <f t="shared" si="16"/>
        <v>54</v>
      </c>
      <c r="L251" s="8">
        <f t="shared" si="17"/>
        <v>54</v>
      </c>
      <c r="M251" s="9" t="str">
        <f t="shared" si="18"/>
        <v>Fail</v>
      </c>
      <c r="N251" s="12" t="str">
        <f t="shared" si="19"/>
        <v>C</v>
      </c>
    </row>
  </sheetData>
  <mergeCells count="10">
    <mergeCell ref="P13:R14"/>
    <mergeCell ref="P16:S18"/>
    <mergeCell ref="U12:W13"/>
    <mergeCell ref="U16:W17"/>
    <mergeCell ref="U20:X21"/>
    <mergeCell ref="U3:W4"/>
    <mergeCell ref="U8:W9"/>
    <mergeCell ref="P3:R4"/>
    <mergeCell ref="P7:R8"/>
    <mergeCell ref="P10:R11"/>
  </mergeCells>
  <conditionalFormatting sqref="F2:F251">
    <cfRule type="cellIs" dxfId="5" priority="1" operator="lessThan">
      <formula>33</formula>
    </cfRule>
    <cfRule type="cellIs" dxfId="4" priority="3" operator="lessThan">
      <formula>33</formula>
    </cfRule>
    <cfRule type="cellIs" dxfId="3" priority="4" operator="lessThan">
      <formula>33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E370-140E-410C-857B-FE18678586A9}">
  <dimension ref="A1:Z251"/>
  <sheetViews>
    <sheetView topLeftCell="J1" workbookViewId="0">
      <selection activeCell="V15" sqref="V15"/>
    </sheetView>
  </sheetViews>
  <sheetFormatPr defaultRowHeight="14.5" x14ac:dyDescent="0.35"/>
  <cols>
    <col min="10" max="10" width="10.81640625" bestFit="1" customWidth="1"/>
    <col min="12" max="12" width="10.1796875" bestFit="1" customWidth="1"/>
    <col min="13" max="13" width="16.6328125" bestFit="1" customWidth="1"/>
    <col min="14" max="14" width="11.6328125" bestFit="1" customWidth="1"/>
  </cols>
  <sheetData>
    <row r="1" spans="1:2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261</v>
      </c>
      <c r="K1" s="5" t="s">
        <v>263</v>
      </c>
      <c r="L1" s="7" t="s">
        <v>265</v>
      </c>
      <c r="M1" s="10" t="s">
        <v>273</v>
      </c>
      <c r="N1" s="11" t="s">
        <v>268</v>
      </c>
    </row>
    <row r="2" spans="1:26" x14ac:dyDescent="0.35">
      <c r="A2" s="1">
        <v>1</v>
      </c>
      <c r="B2" s="1" t="s">
        <v>9</v>
      </c>
      <c r="C2" s="1" t="s">
        <v>10</v>
      </c>
      <c r="D2" s="1">
        <v>13</v>
      </c>
      <c r="E2" s="1" t="s">
        <v>11</v>
      </c>
      <c r="F2" s="1">
        <v>21</v>
      </c>
      <c r="G2" s="1">
        <v>81</v>
      </c>
      <c r="H2" s="1">
        <v>62</v>
      </c>
      <c r="I2" s="1">
        <v>49</v>
      </c>
      <c r="J2" s="2">
        <f>SUM(E2:I2)</f>
        <v>213</v>
      </c>
      <c r="K2" s="6">
        <f>AVERAGE(F2:I2)</f>
        <v>53.25</v>
      </c>
      <c r="L2" s="8">
        <f>(J2/400)*100</f>
        <v>53.25</v>
      </c>
      <c r="M2" s="9" t="str">
        <f>IF(AND(F2&gt;=35,G2&gt;=35,H2&gt;=35,I2&gt;=35),"Pass","Fail")</f>
        <v>Fail</v>
      </c>
      <c r="N2" s="12" t="str">
        <f>IF(L2&gt;=75,"A",IF(L2&gt;=60,"B",IF(L2&gt;=50,"C",IF(L2&gt;=35,"D","F"))))</f>
        <v>C</v>
      </c>
    </row>
    <row r="3" spans="1:26" x14ac:dyDescent="0.35">
      <c r="A3" s="1">
        <v>2</v>
      </c>
      <c r="B3" s="1" t="s">
        <v>12</v>
      </c>
      <c r="C3" s="1" t="s">
        <v>13</v>
      </c>
      <c r="D3" s="1">
        <v>15</v>
      </c>
      <c r="E3" s="1" t="s">
        <v>14</v>
      </c>
      <c r="F3" s="1">
        <v>29</v>
      </c>
      <c r="G3" s="1">
        <v>41</v>
      </c>
      <c r="H3" s="1">
        <v>17</v>
      </c>
      <c r="I3" s="1">
        <v>40</v>
      </c>
      <c r="J3" s="2">
        <f t="shared" ref="J3:J66" si="0">SUM(E3:I3)</f>
        <v>127</v>
      </c>
      <c r="K3" s="6">
        <f t="shared" ref="K3:K66" si="1">AVERAGE(F3:I3)</f>
        <v>31.75</v>
      </c>
      <c r="L3" s="8">
        <f t="shared" ref="L3:L66" si="2">(J3/400)*100</f>
        <v>31.75</v>
      </c>
      <c r="M3" s="9" t="str">
        <f t="shared" ref="M3:M66" si="3">IF(AND(F3&gt;=35,G3&gt;=35,H3&gt;=35,I3&gt;=35),"Pass","Fail")</f>
        <v>Fail</v>
      </c>
      <c r="N3" s="12" t="str">
        <f t="shared" ref="N3:N66" si="4">IF(L3&gt;=75,"A",IF(L3&gt;=60,"B",IF(L3&gt;=50,"C",IF(L3&gt;=35,"D","F"))))</f>
        <v>F</v>
      </c>
      <c r="Q3" s="16" t="s">
        <v>275</v>
      </c>
      <c r="R3" s="16"/>
      <c r="S3" s="16"/>
      <c r="T3" s="16"/>
      <c r="W3" s="26" t="s">
        <v>280</v>
      </c>
      <c r="X3" s="26"/>
      <c r="Y3" s="26"/>
      <c r="Z3" s="26"/>
    </row>
    <row r="4" spans="1:26" x14ac:dyDescent="0.35">
      <c r="A4" s="1">
        <v>3</v>
      </c>
      <c r="B4" s="1" t="s">
        <v>15</v>
      </c>
      <c r="C4" s="1" t="s">
        <v>10</v>
      </c>
      <c r="D4" s="1">
        <v>14</v>
      </c>
      <c r="E4" s="1" t="s">
        <v>11</v>
      </c>
      <c r="F4" s="1">
        <v>12</v>
      </c>
      <c r="G4" s="1">
        <v>87</v>
      </c>
      <c r="H4" s="1">
        <v>16</v>
      </c>
      <c r="I4" s="1">
        <v>96</v>
      </c>
      <c r="J4" s="2">
        <f t="shared" si="0"/>
        <v>211</v>
      </c>
      <c r="K4" s="6">
        <f t="shared" si="1"/>
        <v>52.75</v>
      </c>
      <c r="L4" s="8">
        <f t="shared" si="2"/>
        <v>52.75</v>
      </c>
      <c r="M4" s="9" t="str">
        <f t="shared" si="3"/>
        <v>Fail</v>
      </c>
      <c r="N4" s="12" t="str">
        <f t="shared" si="4"/>
        <v>C</v>
      </c>
      <c r="Q4" s="16"/>
      <c r="R4" s="16"/>
      <c r="S4" s="16"/>
      <c r="T4" s="16"/>
      <c r="W4" s="26"/>
      <c r="X4" s="26"/>
      <c r="Y4" s="26"/>
      <c r="Z4" s="26"/>
    </row>
    <row r="5" spans="1:26" x14ac:dyDescent="0.35">
      <c r="A5" s="1">
        <v>4</v>
      </c>
      <c r="B5" s="1" t="s">
        <v>16</v>
      </c>
      <c r="C5" s="1" t="s">
        <v>10</v>
      </c>
      <c r="D5" s="1">
        <v>14</v>
      </c>
      <c r="E5" s="1" t="s">
        <v>14</v>
      </c>
      <c r="F5" s="1">
        <v>15</v>
      </c>
      <c r="G5" s="1">
        <v>53</v>
      </c>
      <c r="H5" s="1">
        <v>82</v>
      </c>
      <c r="I5" s="1">
        <v>33</v>
      </c>
      <c r="J5" s="2">
        <f t="shared" si="0"/>
        <v>183</v>
      </c>
      <c r="K5" s="6">
        <f t="shared" si="1"/>
        <v>45.75</v>
      </c>
      <c r="L5" s="8">
        <f t="shared" si="2"/>
        <v>45.75</v>
      </c>
      <c r="M5" s="9" t="str">
        <f t="shared" si="3"/>
        <v>Fail</v>
      </c>
      <c r="N5" s="12" t="str">
        <f t="shared" si="4"/>
        <v>D</v>
      </c>
      <c r="R5" t="str">
        <f>VLOOKUP(A7,A1:A7:I251,2,FALSE)</f>
        <v>Malissa</v>
      </c>
      <c r="X5">
        <f>MATCH("English",A1:I1,0)</f>
        <v>7</v>
      </c>
    </row>
    <row r="6" spans="1:26" x14ac:dyDescent="0.35">
      <c r="A6" s="1">
        <v>5</v>
      </c>
      <c r="B6" s="1" t="s">
        <v>17</v>
      </c>
      <c r="C6" s="1" t="s">
        <v>13</v>
      </c>
      <c r="D6" s="1">
        <v>14</v>
      </c>
      <c r="E6" s="1" t="s">
        <v>18</v>
      </c>
      <c r="F6" s="1">
        <v>43</v>
      </c>
      <c r="G6" s="1">
        <v>6</v>
      </c>
      <c r="H6" s="1">
        <v>3</v>
      </c>
      <c r="I6" s="1">
        <v>21</v>
      </c>
      <c r="J6" s="2">
        <f t="shared" si="0"/>
        <v>73</v>
      </c>
      <c r="K6" s="6">
        <f t="shared" si="1"/>
        <v>18.25</v>
      </c>
      <c r="L6" s="8">
        <f t="shared" si="2"/>
        <v>18.25</v>
      </c>
      <c r="M6" s="9" t="str">
        <f t="shared" si="3"/>
        <v>Fail</v>
      </c>
      <c r="N6" s="12" t="str">
        <f t="shared" si="4"/>
        <v>F</v>
      </c>
    </row>
    <row r="7" spans="1:26" x14ac:dyDescent="0.35">
      <c r="A7" s="1">
        <v>6</v>
      </c>
      <c r="B7" s="1" t="s">
        <v>19</v>
      </c>
      <c r="C7" s="1" t="s">
        <v>10</v>
      </c>
      <c r="D7" s="1">
        <v>14</v>
      </c>
      <c r="E7" s="1" t="s">
        <v>11</v>
      </c>
      <c r="F7" s="1">
        <v>98</v>
      </c>
      <c r="G7" s="1">
        <v>51</v>
      </c>
      <c r="H7" s="1">
        <v>85</v>
      </c>
      <c r="I7" s="1">
        <v>76</v>
      </c>
      <c r="J7" s="2">
        <f t="shared" si="0"/>
        <v>310</v>
      </c>
      <c r="K7" s="6">
        <f t="shared" si="1"/>
        <v>77.5</v>
      </c>
      <c r="L7" s="8">
        <f t="shared" si="2"/>
        <v>77.5</v>
      </c>
      <c r="M7" s="9" t="str">
        <f t="shared" si="3"/>
        <v>Pass</v>
      </c>
      <c r="N7" s="12" t="str">
        <f t="shared" si="4"/>
        <v>A</v>
      </c>
      <c r="Q7" s="17" t="s">
        <v>278</v>
      </c>
      <c r="R7" s="17"/>
      <c r="S7" s="17"/>
      <c r="W7" s="19" t="s">
        <v>281</v>
      </c>
      <c r="X7" s="19"/>
      <c r="Y7" s="19"/>
      <c r="Z7" s="19"/>
    </row>
    <row r="8" spans="1:26" x14ac:dyDescent="0.35">
      <c r="A8" s="1">
        <v>7</v>
      </c>
      <c r="B8" s="1" t="s">
        <v>20</v>
      </c>
      <c r="C8" s="1" t="s">
        <v>10</v>
      </c>
      <c r="D8" s="1">
        <v>14</v>
      </c>
      <c r="E8" s="1" t="s">
        <v>14</v>
      </c>
      <c r="F8" s="1">
        <v>38</v>
      </c>
      <c r="G8" s="1">
        <v>74</v>
      </c>
      <c r="H8" s="1">
        <v>54</v>
      </c>
      <c r="I8" s="1">
        <v>60</v>
      </c>
      <c r="J8" s="2">
        <f t="shared" si="0"/>
        <v>226</v>
      </c>
      <c r="K8" s="6">
        <f t="shared" si="1"/>
        <v>56.5</v>
      </c>
      <c r="L8" s="8">
        <f t="shared" si="2"/>
        <v>56.499999999999993</v>
      </c>
      <c r="M8" s="9" t="str">
        <f t="shared" si="3"/>
        <v>Pass</v>
      </c>
      <c r="N8" s="12" t="str">
        <f t="shared" si="4"/>
        <v>C</v>
      </c>
      <c r="Q8" s="17"/>
      <c r="R8" s="17"/>
      <c r="S8" s="17"/>
      <c r="W8" s="19"/>
      <c r="X8" s="19"/>
      <c r="Y8" s="19"/>
      <c r="Z8" s="19"/>
    </row>
    <row r="9" spans="1:26" x14ac:dyDescent="0.35">
      <c r="A9" s="1">
        <v>8</v>
      </c>
      <c r="B9" s="1" t="s">
        <v>21</v>
      </c>
      <c r="C9" s="1" t="s">
        <v>13</v>
      </c>
      <c r="D9" s="1">
        <v>14</v>
      </c>
      <c r="E9" s="1" t="s">
        <v>14</v>
      </c>
      <c r="F9" s="1">
        <v>25</v>
      </c>
      <c r="G9" s="1">
        <v>51</v>
      </c>
      <c r="H9" s="1">
        <v>41</v>
      </c>
      <c r="I9" s="1">
        <v>80</v>
      </c>
      <c r="J9" s="2">
        <f t="shared" si="0"/>
        <v>197</v>
      </c>
      <c r="K9" s="6">
        <f t="shared" si="1"/>
        <v>49.25</v>
      </c>
      <c r="L9" s="8">
        <f t="shared" si="2"/>
        <v>49.25</v>
      </c>
      <c r="M9" s="9" t="str">
        <f t="shared" si="3"/>
        <v>Fail</v>
      </c>
      <c r="N9" s="12" t="str">
        <f t="shared" si="4"/>
        <v>D</v>
      </c>
      <c r="R9" t="str">
        <f>VLOOKUP(A2, A2:I20, 5, FALSE)</f>
        <v>C</v>
      </c>
      <c r="X9">
        <f>INDEX(H2:H251,MATCH(A2,A2:A251,0))</f>
        <v>62</v>
      </c>
    </row>
    <row r="10" spans="1:26" x14ac:dyDescent="0.35">
      <c r="A10" s="1">
        <v>9</v>
      </c>
      <c r="B10" s="1" t="s">
        <v>22</v>
      </c>
      <c r="C10" s="1" t="s">
        <v>13</v>
      </c>
      <c r="D10" s="1">
        <v>15</v>
      </c>
      <c r="E10" s="1" t="s">
        <v>18</v>
      </c>
      <c r="F10" s="1">
        <v>39</v>
      </c>
      <c r="G10" s="1">
        <v>16</v>
      </c>
      <c r="H10" s="1">
        <v>22</v>
      </c>
      <c r="I10" s="1">
        <v>49</v>
      </c>
      <c r="J10" s="2">
        <f t="shared" si="0"/>
        <v>126</v>
      </c>
      <c r="K10" s="6">
        <f t="shared" si="1"/>
        <v>31.5</v>
      </c>
      <c r="L10" s="8">
        <f t="shared" si="2"/>
        <v>31.5</v>
      </c>
      <c r="M10" s="9" t="str">
        <f t="shared" si="3"/>
        <v>Fail</v>
      </c>
      <c r="N10" s="12" t="str">
        <f t="shared" si="4"/>
        <v>F</v>
      </c>
    </row>
    <row r="11" spans="1:26" x14ac:dyDescent="0.35">
      <c r="A11" s="1">
        <v>10</v>
      </c>
      <c r="B11" s="1" t="s">
        <v>23</v>
      </c>
      <c r="C11" s="1" t="s">
        <v>13</v>
      </c>
      <c r="D11" s="1">
        <v>15</v>
      </c>
      <c r="E11" s="1" t="s">
        <v>11</v>
      </c>
      <c r="F11" s="1">
        <v>35</v>
      </c>
      <c r="G11" s="1">
        <v>25</v>
      </c>
      <c r="H11" s="1">
        <v>37</v>
      </c>
      <c r="I11" s="1">
        <v>27</v>
      </c>
      <c r="J11" s="2">
        <f t="shared" si="0"/>
        <v>124</v>
      </c>
      <c r="K11" s="6">
        <f t="shared" si="1"/>
        <v>31</v>
      </c>
      <c r="L11" s="8">
        <f t="shared" si="2"/>
        <v>31</v>
      </c>
      <c r="M11" s="9" t="str">
        <f t="shared" si="3"/>
        <v>Fail</v>
      </c>
      <c r="N11" s="12" t="str">
        <f t="shared" si="4"/>
        <v>F</v>
      </c>
      <c r="Q11" s="20" t="s">
        <v>277</v>
      </c>
      <c r="R11" s="20"/>
      <c r="S11" s="20"/>
      <c r="T11" s="20"/>
    </row>
    <row r="12" spans="1:26" x14ac:dyDescent="0.35">
      <c r="A12" s="1">
        <v>11</v>
      </c>
      <c r="B12" s="1" t="s">
        <v>24</v>
      </c>
      <c r="C12" s="1" t="s">
        <v>13</v>
      </c>
      <c r="D12" s="1">
        <v>15</v>
      </c>
      <c r="E12" s="1" t="s">
        <v>11</v>
      </c>
      <c r="F12" s="1">
        <v>100</v>
      </c>
      <c r="G12" s="1">
        <v>93</v>
      </c>
      <c r="H12" s="1">
        <v>87</v>
      </c>
      <c r="I12" s="1">
        <v>81</v>
      </c>
      <c r="J12" s="2">
        <f t="shared" si="0"/>
        <v>361</v>
      </c>
      <c r="K12" s="6">
        <f t="shared" si="1"/>
        <v>90.25</v>
      </c>
      <c r="L12" s="8">
        <f t="shared" si="2"/>
        <v>90.25</v>
      </c>
      <c r="M12" s="9" t="str">
        <f t="shared" si="3"/>
        <v>Pass</v>
      </c>
      <c r="N12" s="12" t="str">
        <f t="shared" si="4"/>
        <v>A</v>
      </c>
      <c r="Q12" s="20"/>
      <c r="R12" s="20"/>
      <c r="S12" s="20"/>
      <c r="T12" s="20"/>
    </row>
    <row r="13" spans="1:26" x14ac:dyDescent="0.35">
      <c r="A13" s="1">
        <v>12</v>
      </c>
      <c r="B13" s="1" t="s">
        <v>25</v>
      </c>
      <c r="C13" s="1" t="s">
        <v>13</v>
      </c>
      <c r="D13" s="1">
        <v>13</v>
      </c>
      <c r="E13" s="1" t="s">
        <v>14</v>
      </c>
      <c r="F13" s="1">
        <v>19</v>
      </c>
      <c r="G13" s="1">
        <v>5</v>
      </c>
      <c r="H13" s="1">
        <v>78</v>
      </c>
      <c r="I13" s="1">
        <v>76</v>
      </c>
      <c r="J13" s="2">
        <f t="shared" si="0"/>
        <v>178</v>
      </c>
      <c r="K13" s="6">
        <f t="shared" si="1"/>
        <v>44.5</v>
      </c>
      <c r="L13" s="8">
        <f t="shared" si="2"/>
        <v>44.5</v>
      </c>
      <c r="M13" s="9" t="str">
        <f t="shared" si="3"/>
        <v>Fail</v>
      </c>
      <c r="N13" s="12" t="str">
        <f t="shared" si="4"/>
        <v>D</v>
      </c>
      <c r="R13">
        <f>HLOOKUP("English", A1:I5, 5, FALSE)</f>
        <v>53</v>
      </c>
    </row>
    <row r="14" spans="1:26" x14ac:dyDescent="0.35">
      <c r="A14" s="1">
        <v>13</v>
      </c>
      <c r="B14" s="1" t="s">
        <v>26</v>
      </c>
      <c r="C14" s="1" t="s">
        <v>13</v>
      </c>
      <c r="D14" s="1">
        <v>15</v>
      </c>
      <c r="E14" s="1" t="s">
        <v>18</v>
      </c>
      <c r="F14" s="1">
        <v>65</v>
      </c>
      <c r="G14" s="1">
        <v>89</v>
      </c>
      <c r="H14" s="1">
        <v>96</v>
      </c>
      <c r="I14" s="1">
        <v>34</v>
      </c>
      <c r="J14" s="2">
        <f t="shared" si="0"/>
        <v>284</v>
      </c>
      <c r="K14" s="6">
        <f t="shared" si="1"/>
        <v>71</v>
      </c>
      <c r="L14" s="8">
        <f t="shared" si="2"/>
        <v>71</v>
      </c>
      <c r="M14" s="9" t="str">
        <f t="shared" si="3"/>
        <v>Fail</v>
      </c>
      <c r="N14" s="12" t="str">
        <f t="shared" si="4"/>
        <v>B</v>
      </c>
    </row>
    <row r="15" spans="1:26" x14ac:dyDescent="0.35">
      <c r="A15" s="1">
        <v>14</v>
      </c>
      <c r="B15" s="1" t="s">
        <v>27</v>
      </c>
      <c r="C15" s="1" t="s">
        <v>10</v>
      </c>
      <c r="D15" s="1">
        <v>13</v>
      </c>
      <c r="E15" s="1" t="s">
        <v>14</v>
      </c>
      <c r="F15" s="1">
        <v>93</v>
      </c>
      <c r="G15" s="1">
        <v>38</v>
      </c>
      <c r="H15" s="1">
        <v>39</v>
      </c>
      <c r="I15" s="1">
        <v>93</v>
      </c>
      <c r="J15" s="2">
        <f t="shared" si="0"/>
        <v>263</v>
      </c>
      <c r="K15" s="6">
        <f t="shared" si="1"/>
        <v>65.75</v>
      </c>
      <c r="L15" s="8">
        <f t="shared" si="2"/>
        <v>65.75</v>
      </c>
      <c r="M15" s="9" t="str">
        <f t="shared" si="3"/>
        <v>Pass</v>
      </c>
      <c r="N15" s="12" t="str">
        <f t="shared" si="4"/>
        <v>B</v>
      </c>
      <c r="Q15" s="25" t="s">
        <v>279</v>
      </c>
      <c r="R15" s="25"/>
      <c r="S15" s="25"/>
      <c r="T15" s="25"/>
    </row>
    <row r="16" spans="1:26" x14ac:dyDescent="0.35">
      <c r="A16" s="1">
        <v>15</v>
      </c>
      <c r="B16" s="1" t="s">
        <v>28</v>
      </c>
      <c r="C16" s="1" t="s">
        <v>10</v>
      </c>
      <c r="D16" s="1">
        <v>13</v>
      </c>
      <c r="E16" s="1" t="s">
        <v>14</v>
      </c>
      <c r="F16" s="1">
        <v>98</v>
      </c>
      <c r="G16" s="1">
        <v>18</v>
      </c>
      <c r="H16" s="1">
        <v>84</v>
      </c>
      <c r="I16" s="1">
        <v>74</v>
      </c>
      <c r="J16" s="2">
        <f t="shared" si="0"/>
        <v>274</v>
      </c>
      <c r="K16" s="6">
        <f t="shared" si="1"/>
        <v>68.5</v>
      </c>
      <c r="L16" s="8">
        <f t="shared" si="2"/>
        <v>68.5</v>
      </c>
      <c r="M16" s="9" t="str">
        <f t="shared" si="3"/>
        <v>Fail</v>
      </c>
      <c r="N16" s="12" t="str">
        <f t="shared" si="4"/>
        <v>B</v>
      </c>
      <c r="Q16" s="25"/>
      <c r="R16" s="25"/>
      <c r="S16" s="25"/>
      <c r="T16" s="25"/>
    </row>
    <row r="17" spans="1:18" x14ac:dyDescent="0.35">
      <c r="A17" s="1">
        <v>16</v>
      </c>
      <c r="B17" s="1" t="s">
        <v>29</v>
      </c>
      <c r="C17" s="1" t="s">
        <v>13</v>
      </c>
      <c r="D17" s="1">
        <v>15</v>
      </c>
      <c r="E17" s="1" t="s">
        <v>18</v>
      </c>
      <c r="F17" s="1">
        <v>53</v>
      </c>
      <c r="G17" s="1">
        <v>30</v>
      </c>
      <c r="H17" s="1">
        <v>90</v>
      </c>
      <c r="I17" s="1">
        <v>64</v>
      </c>
      <c r="J17" s="2">
        <f t="shared" si="0"/>
        <v>237</v>
      </c>
      <c r="K17" s="6">
        <f t="shared" si="1"/>
        <v>59.25</v>
      </c>
      <c r="L17" s="8">
        <f t="shared" si="2"/>
        <v>59.25</v>
      </c>
      <c r="M17" s="9" t="str">
        <f t="shared" si="3"/>
        <v>Fail</v>
      </c>
      <c r="N17" s="12" t="str">
        <f t="shared" si="4"/>
        <v>C</v>
      </c>
      <c r="R17">
        <f>INDEX(I2:I251,5)</f>
        <v>21</v>
      </c>
    </row>
    <row r="18" spans="1:18" x14ac:dyDescent="0.35">
      <c r="A18" s="1">
        <v>17</v>
      </c>
      <c r="B18" s="1" t="s">
        <v>30</v>
      </c>
      <c r="C18" s="1" t="s">
        <v>13</v>
      </c>
      <c r="D18" s="1">
        <v>13</v>
      </c>
      <c r="E18" s="1" t="s">
        <v>18</v>
      </c>
      <c r="F18" s="1">
        <v>91</v>
      </c>
      <c r="G18" s="1">
        <v>45</v>
      </c>
      <c r="H18" s="1">
        <v>44</v>
      </c>
      <c r="I18" s="1">
        <v>45</v>
      </c>
      <c r="J18" s="2">
        <f t="shared" si="0"/>
        <v>225</v>
      </c>
      <c r="K18" s="6">
        <f t="shared" si="1"/>
        <v>56.25</v>
      </c>
      <c r="L18" s="8">
        <f t="shared" si="2"/>
        <v>56.25</v>
      </c>
      <c r="M18" s="9" t="str">
        <f t="shared" si="3"/>
        <v>Pass</v>
      </c>
      <c r="N18" s="12" t="str">
        <f t="shared" si="4"/>
        <v>C</v>
      </c>
    </row>
    <row r="19" spans="1:18" x14ac:dyDescent="0.35">
      <c r="A19" s="1">
        <v>18</v>
      </c>
      <c r="B19" s="1" t="s">
        <v>31</v>
      </c>
      <c r="C19" s="1" t="s">
        <v>10</v>
      </c>
      <c r="D19" s="1">
        <v>13</v>
      </c>
      <c r="E19" s="1" t="s">
        <v>14</v>
      </c>
      <c r="F19" s="1">
        <v>5</v>
      </c>
      <c r="G19" s="1">
        <v>89</v>
      </c>
      <c r="H19" s="1">
        <v>25</v>
      </c>
      <c r="I19" s="1">
        <v>23</v>
      </c>
      <c r="J19" s="2">
        <f t="shared" si="0"/>
        <v>142</v>
      </c>
      <c r="K19" s="6">
        <f t="shared" si="1"/>
        <v>35.5</v>
      </c>
      <c r="L19" s="8">
        <f t="shared" si="2"/>
        <v>35.5</v>
      </c>
      <c r="M19" s="9" t="str">
        <f t="shared" si="3"/>
        <v>Fail</v>
      </c>
      <c r="N19" s="12" t="str">
        <f t="shared" si="4"/>
        <v>D</v>
      </c>
    </row>
    <row r="20" spans="1:18" x14ac:dyDescent="0.35">
      <c r="A20" s="1">
        <v>19</v>
      </c>
      <c r="B20" s="1" t="s">
        <v>32</v>
      </c>
      <c r="C20" s="1" t="s">
        <v>10</v>
      </c>
      <c r="D20" s="1">
        <v>13</v>
      </c>
      <c r="E20" s="1" t="s">
        <v>14</v>
      </c>
      <c r="F20" s="1">
        <v>62</v>
      </c>
      <c r="G20" s="1">
        <v>77</v>
      </c>
      <c r="H20" s="1">
        <v>75</v>
      </c>
      <c r="I20" s="1">
        <v>72</v>
      </c>
      <c r="J20" s="2">
        <f t="shared" si="0"/>
        <v>286</v>
      </c>
      <c r="K20" s="6">
        <f t="shared" si="1"/>
        <v>71.5</v>
      </c>
      <c r="L20" s="8">
        <f t="shared" si="2"/>
        <v>71.5</v>
      </c>
      <c r="M20" s="9" t="str">
        <f t="shared" si="3"/>
        <v>Pass</v>
      </c>
      <c r="N20" s="12" t="str">
        <f t="shared" si="4"/>
        <v>B</v>
      </c>
    </row>
    <row r="21" spans="1:18" x14ac:dyDescent="0.35">
      <c r="A21" s="1">
        <v>20</v>
      </c>
      <c r="B21" s="1" t="s">
        <v>33</v>
      </c>
      <c r="C21" s="1" t="s">
        <v>13</v>
      </c>
      <c r="D21" s="1">
        <v>13</v>
      </c>
      <c r="E21" s="1" t="s">
        <v>14</v>
      </c>
      <c r="F21" s="1">
        <v>41</v>
      </c>
      <c r="G21" s="1">
        <v>6</v>
      </c>
      <c r="H21" s="1">
        <v>17</v>
      </c>
      <c r="I21" s="1">
        <v>3</v>
      </c>
      <c r="J21" s="2">
        <f t="shared" si="0"/>
        <v>67</v>
      </c>
      <c r="K21" s="6">
        <f t="shared" si="1"/>
        <v>16.75</v>
      </c>
      <c r="L21" s="8">
        <f t="shared" si="2"/>
        <v>16.75</v>
      </c>
      <c r="M21" s="9" t="str">
        <f t="shared" si="3"/>
        <v>Fail</v>
      </c>
      <c r="N21" s="12" t="str">
        <f t="shared" si="4"/>
        <v>F</v>
      </c>
    </row>
    <row r="22" spans="1:18" x14ac:dyDescent="0.35">
      <c r="A22" s="1">
        <v>21</v>
      </c>
      <c r="B22" s="1" t="s">
        <v>34</v>
      </c>
      <c r="C22" s="1" t="s">
        <v>13</v>
      </c>
      <c r="D22" s="1">
        <v>13</v>
      </c>
      <c r="E22" s="1" t="s">
        <v>18</v>
      </c>
      <c r="F22" s="1">
        <v>76</v>
      </c>
      <c r="G22" s="1">
        <v>96</v>
      </c>
      <c r="H22" s="1">
        <v>67</v>
      </c>
      <c r="I22" s="1">
        <v>17</v>
      </c>
      <c r="J22" s="2">
        <f t="shared" si="0"/>
        <v>256</v>
      </c>
      <c r="K22" s="6">
        <f t="shared" si="1"/>
        <v>64</v>
      </c>
      <c r="L22" s="8">
        <f t="shared" si="2"/>
        <v>64</v>
      </c>
      <c r="M22" s="9" t="str">
        <f t="shared" si="3"/>
        <v>Fail</v>
      </c>
      <c r="N22" s="12" t="str">
        <f t="shared" si="4"/>
        <v>B</v>
      </c>
    </row>
    <row r="23" spans="1:18" x14ac:dyDescent="0.35">
      <c r="A23" s="1">
        <v>22</v>
      </c>
      <c r="B23" s="1" t="s">
        <v>35</v>
      </c>
      <c r="C23" s="1" t="s">
        <v>13</v>
      </c>
      <c r="D23" s="1">
        <v>14</v>
      </c>
      <c r="E23" s="1" t="s">
        <v>14</v>
      </c>
      <c r="F23" s="1">
        <v>3</v>
      </c>
      <c r="G23" s="1">
        <v>55</v>
      </c>
      <c r="H23" s="1">
        <v>14</v>
      </c>
      <c r="I23" s="1">
        <v>90</v>
      </c>
      <c r="J23" s="2">
        <f t="shared" si="0"/>
        <v>162</v>
      </c>
      <c r="K23" s="6">
        <f t="shared" si="1"/>
        <v>40.5</v>
      </c>
      <c r="L23" s="8">
        <f t="shared" si="2"/>
        <v>40.5</v>
      </c>
      <c r="M23" s="9" t="str">
        <f t="shared" si="3"/>
        <v>Fail</v>
      </c>
      <c r="N23" s="12" t="str">
        <f t="shared" si="4"/>
        <v>D</v>
      </c>
    </row>
    <row r="24" spans="1:18" x14ac:dyDescent="0.35">
      <c r="A24" s="1">
        <v>23</v>
      </c>
      <c r="B24" s="1" t="s">
        <v>36</v>
      </c>
      <c r="C24" s="1" t="s">
        <v>10</v>
      </c>
      <c r="D24" s="1">
        <v>13</v>
      </c>
      <c r="E24" s="1" t="s">
        <v>11</v>
      </c>
      <c r="F24" s="1">
        <v>5</v>
      </c>
      <c r="G24" s="1">
        <v>83</v>
      </c>
      <c r="H24" s="1">
        <v>19</v>
      </c>
      <c r="I24" s="1">
        <v>39</v>
      </c>
      <c r="J24" s="2">
        <f t="shared" si="0"/>
        <v>146</v>
      </c>
      <c r="K24" s="6">
        <f t="shared" si="1"/>
        <v>36.5</v>
      </c>
      <c r="L24" s="8">
        <f t="shared" si="2"/>
        <v>36.5</v>
      </c>
      <c r="M24" s="9" t="str">
        <f t="shared" si="3"/>
        <v>Fail</v>
      </c>
      <c r="N24" s="12" t="str">
        <f t="shared" si="4"/>
        <v>D</v>
      </c>
    </row>
    <row r="25" spans="1:18" x14ac:dyDescent="0.35">
      <c r="A25" s="1">
        <v>24</v>
      </c>
      <c r="B25" s="1" t="s">
        <v>37</v>
      </c>
      <c r="C25" s="1" t="s">
        <v>10</v>
      </c>
      <c r="D25" s="1">
        <v>14</v>
      </c>
      <c r="E25" s="1" t="s">
        <v>11</v>
      </c>
      <c r="F25" s="1">
        <v>48</v>
      </c>
      <c r="G25" s="1">
        <v>83</v>
      </c>
      <c r="H25" s="1">
        <v>79</v>
      </c>
      <c r="I25" s="1">
        <v>95</v>
      </c>
      <c r="J25" s="2">
        <f t="shared" si="0"/>
        <v>305</v>
      </c>
      <c r="K25" s="6">
        <f t="shared" si="1"/>
        <v>76.25</v>
      </c>
      <c r="L25" s="8">
        <f t="shared" si="2"/>
        <v>76.25</v>
      </c>
      <c r="M25" s="9" t="str">
        <f t="shared" si="3"/>
        <v>Pass</v>
      </c>
      <c r="N25" s="12" t="str">
        <f t="shared" si="4"/>
        <v>A</v>
      </c>
    </row>
    <row r="26" spans="1:18" x14ac:dyDescent="0.35">
      <c r="A26" s="1">
        <v>25</v>
      </c>
      <c r="B26" s="1" t="s">
        <v>38</v>
      </c>
      <c r="C26" s="1" t="s">
        <v>13</v>
      </c>
      <c r="D26" s="1">
        <v>14</v>
      </c>
      <c r="E26" s="1" t="s">
        <v>18</v>
      </c>
      <c r="F26" s="1">
        <v>17</v>
      </c>
      <c r="G26" s="1">
        <v>87</v>
      </c>
      <c r="H26" s="1">
        <v>16</v>
      </c>
      <c r="I26" s="1">
        <v>50</v>
      </c>
      <c r="J26" s="2">
        <f t="shared" si="0"/>
        <v>170</v>
      </c>
      <c r="K26" s="6">
        <f t="shared" si="1"/>
        <v>42.5</v>
      </c>
      <c r="L26" s="8">
        <f t="shared" si="2"/>
        <v>42.5</v>
      </c>
      <c r="M26" s="9" t="str">
        <f t="shared" si="3"/>
        <v>Fail</v>
      </c>
      <c r="N26" s="12" t="str">
        <f t="shared" si="4"/>
        <v>D</v>
      </c>
    </row>
    <row r="27" spans="1:18" x14ac:dyDescent="0.35">
      <c r="A27" s="1">
        <v>26</v>
      </c>
      <c r="B27" s="1" t="s">
        <v>39</v>
      </c>
      <c r="C27" s="1" t="s">
        <v>10</v>
      </c>
      <c r="D27" s="1">
        <v>15</v>
      </c>
      <c r="E27" s="1" t="s">
        <v>18</v>
      </c>
      <c r="F27" s="1">
        <v>16</v>
      </c>
      <c r="G27" s="1">
        <v>59</v>
      </c>
      <c r="H27" s="1">
        <v>18</v>
      </c>
      <c r="I27" s="1">
        <v>64</v>
      </c>
      <c r="J27" s="2">
        <f t="shared" si="0"/>
        <v>157</v>
      </c>
      <c r="K27" s="6">
        <f t="shared" si="1"/>
        <v>39.25</v>
      </c>
      <c r="L27" s="8">
        <f t="shared" si="2"/>
        <v>39.25</v>
      </c>
      <c r="M27" s="9" t="str">
        <f t="shared" si="3"/>
        <v>Fail</v>
      </c>
      <c r="N27" s="12" t="str">
        <f t="shared" si="4"/>
        <v>D</v>
      </c>
    </row>
    <row r="28" spans="1:18" x14ac:dyDescent="0.35">
      <c r="A28" s="1">
        <v>27</v>
      </c>
      <c r="B28" s="1" t="s">
        <v>40</v>
      </c>
      <c r="C28" s="1" t="s">
        <v>10</v>
      </c>
      <c r="D28" s="1">
        <v>14</v>
      </c>
      <c r="E28" s="1" t="s">
        <v>18</v>
      </c>
      <c r="F28" s="1">
        <v>93</v>
      </c>
      <c r="G28" s="1">
        <v>93</v>
      </c>
      <c r="H28" s="1">
        <v>83</v>
      </c>
      <c r="I28" s="1">
        <v>40</v>
      </c>
      <c r="J28" s="2">
        <f t="shared" si="0"/>
        <v>309</v>
      </c>
      <c r="K28" s="6">
        <f t="shared" si="1"/>
        <v>77.25</v>
      </c>
      <c r="L28" s="8">
        <f t="shared" si="2"/>
        <v>77.25</v>
      </c>
      <c r="M28" s="9" t="str">
        <f t="shared" si="3"/>
        <v>Pass</v>
      </c>
      <c r="N28" s="12" t="str">
        <f t="shared" si="4"/>
        <v>A</v>
      </c>
    </row>
    <row r="29" spans="1:18" x14ac:dyDescent="0.35">
      <c r="A29" s="1">
        <v>28</v>
      </c>
      <c r="B29" s="1" t="s">
        <v>41</v>
      </c>
      <c r="C29" s="1" t="s">
        <v>13</v>
      </c>
      <c r="D29" s="1">
        <v>14</v>
      </c>
      <c r="E29" s="1" t="s">
        <v>18</v>
      </c>
      <c r="F29" s="1">
        <v>60</v>
      </c>
      <c r="G29" s="1">
        <v>36</v>
      </c>
      <c r="H29" s="1">
        <v>86</v>
      </c>
      <c r="I29" s="1">
        <v>87</v>
      </c>
      <c r="J29" s="2">
        <f t="shared" si="0"/>
        <v>269</v>
      </c>
      <c r="K29" s="6">
        <f t="shared" si="1"/>
        <v>67.25</v>
      </c>
      <c r="L29" s="8">
        <f t="shared" si="2"/>
        <v>67.25</v>
      </c>
      <c r="M29" s="9" t="str">
        <f t="shared" si="3"/>
        <v>Pass</v>
      </c>
      <c r="N29" s="12" t="str">
        <f t="shared" si="4"/>
        <v>B</v>
      </c>
    </row>
    <row r="30" spans="1:18" x14ac:dyDescent="0.35">
      <c r="A30" s="1">
        <v>29</v>
      </c>
      <c r="B30" s="1" t="s">
        <v>42</v>
      </c>
      <c r="C30" s="1" t="s">
        <v>13</v>
      </c>
      <c r="D30" s="1">
        <v>13</v>
      </c>
      <c r="E30" s="1" t="s">
        <v>11</v>
      </c>
      <c r="F30" s="1">
        <v>19</v>
      </c>
      <c r="G30" s="1">
        <v>8</v>
      </c>
      <c r="H30" s="1">
        <v>76</v>
      </c>
      <c r="I30" s="1">
        <v>75</v>
      </c>
      <c r="J30" s="2">
        <f t="shared" si="0"/>
        <v>178</v>
      </c>
      <c r="K30" s="6">
        <f t="shared" si="1"/>
        <v>44.5</v>
      </c>
      <c r="L30" s="8">
        <f t="shared" si="2"/>
        <v>44.5</v>
      </c>
      <c r="M30" s="9" t="str">
        <f t="shared" si="3"/>
        <v>Fail</v>
      </c>
      <c r="N30" s="12" t="str">
        <f t="shared" si="4"/>
        <v>D</v>
      </c>
    </row>
    <row r="31" spans="1:18" x14ac:dyDescent="0.35">
      <c r="A31" s="1">
        <v>30</v>
      </c>
      <c r="B31" s="1" t="s">
        <v>43</v>
      </c>
      <c r="C31" s="1" t="s">
        <v>13</v>
      </c>
      <c r="D31" s="1">
        <v>13</v>
      </c>
      <c r="E31" s="1" t="s">
        <v>11</v>
      </c>
      <c r="F31" s="1">
        <v>95</v>
      </c>
      <c r="G31" s="1">
        <v>65</v>
      </c>
      <c r="H31" s="1">
        <v>25</v>
      </c>
      <c r="I31" s="1">
        <v>91</v>
      </c>
      <c r="J31" s="2">
        <f t="shared" si="0"/>
        <v>276</v>
      </c>
      <c r="K31" s="6">
        <f t="shared" si="1"/>
        <v>69</v>
      </c>
      <c r="L31" s="8">
        <f t="shared" si="2"/>
        <v>69</v>
      </c>
      <c r="M31" s="9" t="str">
        <f t="shared" si="3"/>
        <v>Fail</v>
      </c>
      <c r="N31" s="12" t="str">
        <f t="shared" si="4"/>
        <v>B</v>
      </c>
    </row>
    <row r="32" spans="1:18" x14ac:dyDescent="0.35">
      <c r="A32" s="1">
        <v>31</v>
      </c>
      <c r="B32" s="1" t="s">
        <v>44</v>
      </c>
      <c r="C32" s="1" t="s">
        <v>10</v>
      </c>
      <c r="D32" s="1">
        <v>15</v>
      </c>
      <c r="E32" s="1" t="s">
        <v>14</v>
      </c>
      <c r="F32" s="1">
        <v>14</v>
      </c>
      <c r="G32" s="1">
        <v>83</v>
      </c>
      <c r="H32" s="1">
        <v>9</v>
      </c>
      <c r="I32" s="1">
        <v>90</v>
      </c>
      <c r="J32" s="2">
        <f t="shared" si="0"/>
        <v>196</v>
      </c>
      <c r="K32" s="6">
        <f t="shared" si="1"/>
        <v>49</v>
      </c>
      <c r="L32" s="8">
        <f t="shared" si="2"/>
        <v>49</v>
      </c>
      <c r="M32" s="9" t="str">
        <f t="shared" si="3"/>
        <v>Fail</v>
      </c>
      <c r="N32" s="12" t="str">
        <f t="shared" si="4"/>
        <v>D</v>
      </c>
    </row>
    <row r="33" spans="1:14" x14ac:dyDescent="0.35">
      <c r="A33" s="1">
        <v>32</v>
      </c>
      <c r="B33" s="1" t="s">
        <v>45</v>
      </c>
      <c r="C33" s="1" t="s">
        <v>10</v>
      </c>
      <c r="D33" s="1">
        <v>15</v>
      </c>
      <c r="E33" s="1" t="s">
        <v>14</v>
      </c>
      <c r="F33" s="1">
        <v>17</v>
      </c>
      <c r="G33" s="1">
        <v>36</v>
      </c>
      <c r="H33" s="1">
        <v>45</v>
      </c>
      <c r="I33" s="1">
        <v>27</v>
      </c>
      <c r="J33" s="2">
        <f t="shared" si="0"/>
        <v>125</v>
      </c>
      <c r="K33" s="6">
        <f t="shared" si="1"/>
        <v>31.25</v>
      </c>
      <c r="L33" s="8">
        <f t="shared" si="2"/>
        <v>31.25</v>
      </c>
      <c r="M33" s="9" t="str">
        <f t="shared" si="3"/>
        <v>Fail</v>
      </c>
      <c r="N33" s="12" t="str">
        <f t="shared" si="4"/>
        <v>F</v>
      </c>
    </row>
    <row r="34" spans="1:14" x14ac:dyDescent="0.35">
      <c r="A34" s="1">
        <v>33</v>
      </c>
      <c r="B34" s="1" t="s">
        <v>46</v>
      </c>
      <c r="C34" s="1" t="s">
        <v>10</v>
      </c>
      <c r="D34" s="1">
        <v>14</v>
      </c>
      <c r="E34" s="1" t="s">
        <v>11</v>
      </c>
      <c r="F34" s="1">
        <v>17</v>
      </c>
      <c r="G34" s="1">
        <v>74</v>
      </c>
      <c r="H34" s="1">
        <v>11</v>
      </c>
      <c r="I34" s="1">
        <v>49</v>
      </c>
      <c r="J34" s="2">
        <f t="shared" si="0"/>
        <v>151</v>
      </c>
      <c r="K34" s="6">
        <f t="shared" si="1"/>
        <v>37.75</v>
      </c>
      <c r="L34" s="8">
        <f t="shared" si="2"/>
        <v>37.75</v>
      </c>
      <c r="M34" s="9" t="str">
        <f t="shared" si="3"/>
        <v>Fail</v>
      </c>
      <c r="N34" s="12" t="str">
        <f t="shared" si="4"/>
        <v>D</v>
      </c>
    </row>
    <row r="35" spans="1:14" x14ac:dyDescent="0.35">
      <c r="A35" s="1">
        <v>34</v>
      </c>
      <c r="B35" s="1" t="s">
        <v>47</v>
      </c>
      <c r="C35" s="1" t="s">
        <v>10</v>
      </c>
      <c r="D35" s="1">
        <v>15</v>
      </c>
      <c r="E35" s="1" t="s">
        <v>14</v>
      </c>
      <c r="F35" s="1">
        <v>54</v>
      </c>
      <c r="G35" s="1">
        <v>18</v>
      </c>
      <c r="H35" s="1">
        <v>46</v>
      </c>
      <c r="I35" s="1">
        <v>17</v>
      </c>
      <c r="J35" s="2">
        <f t="shared" si="0"/>
        <v>135</v>
      </c>
      <c r="K35" s="6">
        <f t="shared" si="1"/>
        <v>33.75</v>
      </c>
      <c r="L35" s="8">
        <f t="shared" si="2"/>
        <v>33.75</v>
      </c>
      <c r="M35" s="9" t="str">
        <f t="shared" si="3"/>
        <v>Fail</v>
      </c>
      <c r="N35" s="12" t="str">
        <f t="shared" si="4"/>
        <v>F</v>
      </c>
    </row>
    <row r="36" spans="1:14" x14ac:dyDescent="0.35">
      <c r="A36" s="1">
        <v>35</v>
      </c>
      <c r="B36" s="1" t="s">
        <v>48</v>
      </c>
      <c r="C36" s="1" t="s">
        <v>10</v>
      </c>
      <c r="D36" s="1">
        <v>13</v>
      </c>
      <c r="E36" s="1" t="s">
        <v>14</v>
      </c>
      <c r="F36" s="1">
        <v>5</v>
      </c>
      <c r="G36" s="1">
        <v>75</v>
      </c>
      <c r="H36" s="1">
        <v>13</v>
      </c>
      <c r="I36" s="1">
        <v>61</v>
      </c>
      <c r="J36" s="2">
        <f t="shared" si="0"/>
        <v>154</v>
      </c>
      <c r="K36" s="6">
        <f t="shared" si="1"/>
        <v>38.5</v>
      </c>
      <c r="L36" s="8">
        <f t="shared" si="2"/>
        <v>38.5</v>
      </c>
      <c r="M36" s="9" t="str">
        <f t="shared" si="3"/>
        <v>Fail</v>
      </c>
      <c r="N36" s="12" t="str">
        <f t="shared" si="4"/>
        <v>D</v>
      </c>
    </row>
    <row r="37" spans="1:14" x14ac:dyDescent="0.35">
      <c r="A37" s="1">
        <v>36</v>
      </c>
      <c r="B37" s="1" t="s">
        <v>49</v>
      </c>
      <c r="C37" s="1" t="s">
        <v>10</v>
      </c>
      <c r="D37" s="1">
        <v>15</v>
      </c>
      <c r="E37" s="1" t="s">
        <v>11</v>
      </c>
      <c r="F37" s="1">
        <v>93</v>
      </c>
      <c r="G37" s="1">
        <v>53</v>
      </c>
      <c r="H37" s="1">
        <v>10</v>
      </c>
      <c r="I37" s="1">
        <v>29</v>
      </c>
      <c r="J37" s="2">
        <f t="shared" si="0"/>
        <v>185</v>
      </c>
      <c r="K37" s="6">
        <f t="shared" si="1"/>
        <v>46.25</v>
      </c>
      <c r="L37" s="8">
        <f t="shared" si="2"/>
        <v>46.25</v>
      </c>
      <c r="M37" s="9" t="str">
        <f t="shared" si="3"/>
        <v>Fail</v>
      </c>
      <c r="N37" s="12" t="str">
        <f t="shared" si="4"/>
        <v>D</v>
      </c>
    </row>
    <row r="38" spans="1:14" x14ac:dyDescent="0.35">
      <c r="A38" s="1">
        <v>37</v>
      </c>
      <c r="B38" s="1" t="s">
        <v>50</v>
      </c>
      <c r="C38" s="1" t="s">
        <v>10</v>
      </c>
      <c r="D38" s="1">
        <v>14</v>
      </c>
      <c r="E38" s="1" t="s">
        <v>18</v>
      </c>
      <c r="F38" s="1">
        <v>54</v>
      </c>
      <c r="G38" s="1">
        <v>23</v>
      </c>
      <c r="H38" s="1">
        <v>19</v>
      </c>
      <c r="I38" s="1">
        <v>94</v>
      </c>
      <c r="J38" s="2">
        <f t="shared" si="0"/>
        <v>190</v>
      </c>
      <c r="K38" s="6">
        <f t="shared" si="1"/>
        <v>47.5</v>
      </c>
      <c r="L38" s="8">
        <f t="shared" si="2"/>
        <v>47.5</v>
      </c>
      <c r="M38" s="9" t="str">
        <f t="shared" si="3"/>
        <v>Fail</v>
      </c>
      <c r="N38" s="12" t="str">
        <f t="shared" si="4"/>
        <v>D</v>
      </c>
    </row>
    <row r="39" spans="1:14" x14ac:dyDescent="0.35">
      <c r="A39" s="1">
        <v>38</v>
      </c>
      <c r="B39" s="1" t="s">
        <v>51</v>
      </c>
      <c r="C39" s="1" t="s">
        <v>13</v>
      </c>
      <c r="D39" s="1">
        <v>14</v>
      </c>
      <c r="E39" s="1" t="s">
        <v>11</v>
      </c>
      <c r="F39" s="1">
        <v>90</v>
      </c>
      <c r="G39" s="1">
        <v>62</v>
      </c>
      <c r="H39" s="1">
        <v>45</v>
      </c>
      <c r="I39" s="1">
        <v>21</v>
      </c>
      <c r="J39" s="2">
        <f t="shared" si="0"/>
        <v>218</v>
      </c>
      <c r="K39" s="6">
        <f t="shared" si="1"/>
        <v>54.5</v>
      </c>
      <c r="L39" s="8">
        <f t="shared" si="2"/>
        <v>54.500000000000007</v>
      </c>
      <c r="M39" s="9" t="str">
        <f t="shared" si="3"/>
        <v>Fail</v>
      </c>
      <c r="N39" s="12" t="str">
        <f t="shared" si="4"/>
        <v>C</v>
      </c>
    </row>
    <row r="40" spans="1:14" x14ac:dyDescent="0.35">
      <c r="A40" s="1">
        <v>39</v>
      </c>
      <c r="B40" s="1" t="s">
        <v>52</v>
      </c>
      <c r="C40" s="1" t="s">
        <v>10</v>
      </c>
      <c r="D40" s="1">
        <v>13</v>
      </c>
      <c r="E40" s="1" t="s">
        <v>18</v>
      </c>
      <c r="F40" s="1">
        <v>71</v>
      </c>
      <c r="G40" s="1">
        <v>90</v>
      </c>
      <c r="H40" s="1">
        <v>78</v>
      </c>
      <c r="I40" s="1">
        <v>35</v>
      </c>
      <c r="J40" s="2">
        <f t="shared" si="0"/>
        <v>274</v>
      </c>
      <c r="K40" s="6">
        <f t="shared" si="1"/>
        <v>68.5</v>
      </c>
      <c r="L40" s="8">
        <f t="shared" si="2"/>
        <v>68.5</v>
      </c>
      <c r="M40" s="9" t="str">
        <f t="shared" si="3"/>
        <v>Pass</v>
      </c>
      <c r="N40" s="12" t="str">
        <f t="shared" si="4"/>
        <v>B</v>
      </c>
    </row>
    <row r="41" spans="1:14" x14ac:dyDescent="0.35">
      <c r="A41" s="1">
        <v>40</v>
      </c>
      <c r="B41" s="1" t="s">
        <v>53</v>
      </c>
      <c r="C41" s="1" t="s">
        <v>13</v>
      </c>
      <c r="D41" s="1">
        <v>13</v>
      </c>
      <c r="E41" s="1" t="s">
        <v>14</v>
      </c>
      <c r="F41" s="1">
        <v>100</v>
      </c>
      <c r="G41" s="1">
        <v>52</v>
      </c>
      <c r="H41" s="1">
        <v>89</v>
      </c>
      <c r="I41" s="1">
        <v>76</v>
      </c>
      <c r="J41" s="2">
        <f t="shared" si="0"/>
        <v>317</v>
      </c>
      <c r="K41" s="6">
        <f t="shared" si="1"/>
        <v>79.25</v>
      </c>
      <c r="L41" s="8">
        <f t="shared" si="2"/>
        <v>79.25</v>
      </c>
      <c r="M41" s="9" t="str">
        <f t="shared" si="3"/>
        <v>Pass</v>
      </c>
      <c r="N41" s="12" t="str">
        <f t="shared" si="4"/>
        <v>A</v>
      </c>
    </row>
    <row r="42" spans="1:14" x14ac:dyDescent="0.35">
      <c r="A42" s="1">
        <v>41</v>
      </c>
      <c r="B42" s="1" t="s">
        <v>54</v>
      </c>
      <c r="C42" s="1" t="s">
        <v>10</v>
      </c>
      <c r="D42" s="1">
        <v>15</v>
      </c>
      <c r="E42" s="1" t="s">
        <v>11</v>
      </c>
      <c r="F42" s="1">
        <v>10</v>
      </c>
      <c r="G42" s="1">
        <v>78</v>
      </c>
      <c r="H42" s="1">
        <v>56</v>
      </c>
      <c r="I42" s="1">
        <v>41</v>
      </c>
      <c r="J42" s="2">
        <f t="shared" si="0"/>
        <v>185</v>
      </c>
      <c r="K42" s="6">
        <f t="shared" si="1"/>
        <v>46.25</v>
      </c>
      <c r="L42" s="8">
        <f t="shared" si="2"/>
        <v>46.25</v>
      </c>
      <c r="M42" s="9" t="str">
        <f t="shared" si="3"/>
        <v>Fail</v>
      </c>
      <c r="N42" s="12" t="str">
        <f t="shared" si="4"/>
        <v>D</v>
      </c>
    </row>
    <row r="43" spans="1:14" x14ac:dyDescent="0.35">
      <c r="A43" s="1">
        <v>42</v>
      </c>
      <c r="B43" s="1" t="s">
        <v>55</v>
      </c>
      <c r="C43" s="1" t="s">
        <v>10</v>
      </c>
      <c r="D43" s="1">
        <v>13</v>
      </c>
      <c r="E43" s="1" t="s">
        <v>14</v>
      </c>
      <c r="F43" s="1">
        <v>21</v>
      </c>
      <c r="G43" s="1">
        <v>89</v>
      </c>
      <c r="H43" s="1">
        <v>72</v>
      </c>
      <c r="I43" s="1">
        <v>84</v>
      </c>
      <c r="J43" s="2">
        <f t="shared" si="0"/>
        <v>266</v>
      </c>
      <c r="K43" s="6">
        <f t="shared" si="1"/>
        <v>66.5</v>
      </c>
      <c r="L43" s="8">
        <f t="shared" si="2"/>
        <v>66.5</v>
      </c>
      <c r="M43" s="9" t="str">
        <f t="shared" si="3"/>
        <v>Fail</v>
      </c>
      <c r="N43" s="12" t="str">
        <f t="shared" si="4"/>
        <v>B</v>
      </c>
    </row>
    <row r="44" spans="1:14" x14ac:dyDescent="0.35">
      <c r="A44" s="1">
        <v>43</v>
      </c>
      <c r="B44" s="1" t="s">
        <v>56</v>
      </c>
      <c r="C44" s="1" t="s">
        <v>13</v>
      </c>
      <c r="D44" s="1">
        <v>15</v>
      </c>
      <c r="E44" s="1" t="s">
        <v>14</v>
      </c>
      <c r="F44" s="1">
        <v>43</v>
      </c>
      <c r="G44" s="1">
        <v>2</v>
      </c>
      <c r="H44" s="1">
        <v>17</v>
      </c>
      <c r="I44" s="1">
        <v>78</v>
      </c>
      <c r="J44" s="2">
        <f t="shared" si="0"/>
        <v>140</v>
      </c>
      <c r="K44" s="6">
        <f t="shared" si="1"/>
        <v>35</v>
      </c>
      <c r="L44" s="8">
        <f t="shared" si="2"/>
        <v>35</v>
      </c>
      <c r="M44" s="9" t="str">
        <f t="shared" si="3"/>
        <v>Fail</v>
      </c>
      <c r="N44" s="12" t="str">
        <f t="shared" si="4"/>
        <v>D</v>
      </c>
    </row>
    <row r="45" spans="1:14" x14ac:dyDescent="0.35">
      <c r="A45" s="1">
        <v>44</v>
      </c>
      <c r="B45" s="1" t="s">
        <v>57</v>
      </c>
      <c r="C45" s="1" t="s">
        <v>10</v>
      </c>
      <c r="D45" s="1">
        <v>15</v>
      </c>
      <c r="E45" s="1" t="s">
        <v>14</v>
      </c>
      <c r="F45" s="1">
        <v>26</v>
      </c>
      <c r="G45" s="1">
        <v>46</v>
      </c>
      <c r="H45" s="1">
        <v>81</v>
      </c>
      <c r="I45" s="1">
        <v>63</v>
      </c>
      <c r="J45" s="2">
        <f t="shared" si="0"/>
        <v>216</v>
      </c>
      <c r="K45" s="6">
        <f t="shared" si="1"/>
        <v>54</v>
      </c>
      <c r="L45" s="8">
        <f t="shared" si="2"/>
        <v>54</v>
      </c>
      <c r="M45" s="9" t="str">
        <f t="shared" si="3"/>
        <v>Fail</v>
      </c>
      <c r="N45" s="12" t="str">
        <f t="shared" si="4"/>
        <v>C</v>
      </c>
    </row>
    <row r="46" spans="1:14" x14ac:dyDescent="0.35">
      <c r="A46" s="1">
        <v>45</v>
      </c>
      <c r="B46" s="1" t="s">
        <v>58</v>
      </c>
      <c r="C46" s="1" t="s">
        <v>13</v>
      </c>
      <c r="D46" s="1">
        <v>15</v>
      </c>
      <c r="E46" s="1" t="s">
        <v>11</v>
      </c>
      <c r="F46" s="1">
        <v>65</v>
      </c>
      <c r="G46" s="1">
        <v>7</v>
      </c>
      <c r="H46" s="1">
        <v>57</v>
      </c>
      <c r="I46" s="1">
        <v>27</v>
      </c>
      <c r="J46" s="2">
        <f t="shared" si="0"/>
        <v>156</v>
      </c>
      <c r="K46" s="6">
        <f t="shared" si="1"/>
        <v>39</v>
      </c>
      <c r="L46" s="8">
        <f t="shared" si="2"/>
        <v>39</v>
      </c>
      <c r="M46" s="9" t="str">
        <f t="shared" si="3"/>
        <v>Fail</v>
      </c>
      <c r="N46" s="12" t="str">
        <f t="shared" si="4"/>
        <v>D</v>
      </c>
    </row>
    <row r="47" spans="1:14" x14ac:dyDescent="0.35">
      <c r="A47" s="1">
        <v>46</v>
      </c>
      <c r="B47" s="1" t="s">
        <v>59</v>
      </c>
      <c r="C47" s="1" t="s">
        <v>13</v>
      </c>
      <c r="D47" s="1">
        <v>14</v>
      </c>
      <c r="E47" s="1" t="s">
        <v>18</v>
      </c>
      <c r="F47" s="1">
        <v>50</v>
      </c>
      <c r="G47" s="1">
        <v>22</v>
      </c>
      <c r="H47" s="1">
        <v>50</v>
      </c>
      <c r="I47" s="1">
        <v>78</v>
      </c>
      <c r="J47" s="2">
        <f t="shared" si="0"/>
        <v>200</v>
      </c>
      <c r="K47" s="6">
        <f t="shared" si="1"/>
        <v>50</v>
      </c>
      <c r="L47" s="8">
        <f t="shared" si="2"/>
        <v>50</v>
      </c>
      <c r="M47" s="9" t="str">
        <f t="shared" si="3"/>
        <v>Fail</v>
      </c>
      <c r="N47" s="12" t="str">
        <f t="shared" si="4"/>
        <v>C</v>
      </c>
    </row>
    <row r="48" spans="1:14" x14ac:dyDescent="0.35">
      <c r="A48" s="1">
        <v>47</v>
      </c>
      <c r="B48" s="1" t="s">
        <v>60</v>
      </c>
      <c r="C48" s="1" t="s">
        <v>10</v>
      </c>
      <c r="D48" s="1">
        <v>14</v>
      </c>
      <c r="E48" s="1" t="s">
        <v>18</v>
      </c>
      <c r="F48" s="1">
        <v>84</v>
      </c>
      <c r="G48" s="1">
        <v>57</v>
      </c>
      <c r="H48" s="1">
        <v>25</v>
      </c>
      <c r="I48" s="1">
        <v>57</v>
      </c>
      <c r="J48" s="2">
        <f t="shared" si="0"/>
        <v>223</v>
      </c>
      <c r="K48" s="6">
        <f t="shared" si="1"/>
        <v>55.75</v>
      </c>
      <c r="L48" s="8">
        <f t="shared" si="2"/>
        <v>55.75</v>
      </c>
      <c r="M48" s="9" t="str">
        <f t="shared" si="3"/>
        <v>Fail</v>
      </c>
      <c r="N48" s="12" t="str">
        <f t="shared" si="4"/>
        <v>C</v>
      </c>
    </row>
    <row r="49" spans="1:14" x14ac:dyDescent="0.35">
      <c r="A49" s="1">
        <v>48</v>
      </c>
      <c r="B49" s="1" t="s">
        <v>61</v>
      </c>
      <c r="C49" s="1" t="s">
        <v>10</v>
      </c>
      <c r="D49" s="1">
        <v>15</v>
      </c>
      <c r="E49" s="1" t="s">
        <v>11</v>
      </c>
      <c r="F49" s="1">
        <v>78</v>
      </c>
      <c r="G49" s="1">
        <v>58</v>
      </c>
      <c r="H49" s="1">
        <v>1</v>
      </c>
      <c r="I49" s="1">
        <v>33</v>
      </c>
      <c r="J49" s="2">
        <f t="shared" si="0"/>
        <v>170</v>
      </c>
      <c r="K49" s="6">
        <f t="shared" si="1"/>
        <v>42.5</v>
      </c>
      <c r="L49" s="8">
        <f t="shared" si="2"/>
        <v>42.5</v>
      </c>
      <c r="M49" s="9" t="str">
        <f t="shared" si="3"/>
        <v>Fail</v>
      </c>
      <c r="N49" s="12" t="str">
        <f t="shared" si="4"/>
        <v>D</v>
      </c>
    </row>
    <row r="50" spans="1:14" x14ac:dyDescent="0.35">
      <c r="A50" s="1">
        <v>49</v>
      </c>
      <c r="B50" s="1" t="s">
        <v>62</v>
      </c>
      <c r="C50" s="1" t="s">
        <v>13</v>
      </c>
      <c r="D50" s="1">
        <v>13</v>
      </c>
      <c r="E50" s="1" t="s">
        <v>14</v>
      </c>
      <c r="F50" s="1">
        <v>81</v>
      </c>
      <c r="G50" s="1">
        <v>25</v>
      </c>
      <c r="H50" s="1">
        <v>99</v>
      </c>
      <c r="I50" s="1">
        <v>13</v>
      </c>
      <c r="J50" s="2">
        <f t="shared" si="0"/>
        <v>218</v>
      </c>
      <c r="K50" s="6">
        <f t="shared" si="1"/>
        <v>54.5</v>
      </c>
      <c r="L50" s="8">
        <f t="shared" si="2"/>
        <v>54.500000000000007</v>
      </c>
      <c r="M50" s="9" t="str">
        <f t="shared" si="3"/>
        <v>Fail</v>
      </c>
      <c r="N50" s="12" t="str">
        <f t="shared" si="4"/>
        <v>C</v>
      </c>
    </row>
    <row r="51" spans="1:14" x14ac:dyDescent="0.35">
      <c r="A51" s="1">
        <v>50</v>
      </c>
      <c r="B51" s="1" t="s">
        <v>63</v>
      </c>
      <c r="C51" s="1" t="s">
        <v>13</v>
      </c>
      <c r="D51" s="1">
        <v>14</v>
      </c>
      <c r="E51" s="1" t="s">
        <v>18</v>
      </c>
      <c r="F51" s="1">
        <v>94</v>
      </c>
      <c r="G51" s="1">
        <v>15</v>
      </c>
      <c r="H51" s="1">
        <v>66</v>
      </c>
      <c r="I51" s="1">
        <v>34</v>
      </c>
      <c r="J51" s="2">
        <f t="shared" si="0"/>
        <v>209</v>
      </c>
      <c r="K51" s="6">
        <f t="shared" si="1"/>
        <v>52.25</v>
      </c>
      <c r="L51" s="8">
        <f t="shared" si="2"/>
        <v>52.25</v>
      </c>
      <c r="M51" s="9" t="str">
        <f t="shared" si="3"/>
        <v>Fail</v>
      </c>
      <c r="N51" s="12" t="str">
        <f t="shared" si="4"/>
        <v>C</v>
      </c>
    </row>
    <row r="52" spans="1:14" x14ac:dyDescent="0.35">
      <c r="A52" s="1">
        <v>51</v>
      </c>
      <c r="B52" s="1" t="s">
        <v>64</v>
      </c>
      <c r="C52" s="1" t="s">
        <v>13</v>
      </c>
      <c r="D52" s="1">
        <v>14</v>
      </c>
      <c r="E52" s="1" t="s">
        <v>11</v>
      </c>
      <c r="F52" s="1">
        <v>31</v>
      </c>
      <c r="G52" s="1">
        <v>37</v>
      </c>
      <c r="H52" s="1">
        <v>77</v>
      </c>
      <c r="I52" s="1">
        <v>79</v>
      </c>
      <c r="J52" s="2">
        <f t="shared" si="0"/>
        <v>224</v>
      </c>
      <c r="K52" s="6">
        <f t="shared" si="1"/>
        <v>56</v>
      </c>
      <c r="L52" s="8">
        <f t="shared" si="2"/>
        <v>56.000000000000007</v>
      </c>
      <c r="M52" s="9" t="str">
        <f t="shared" si="3"/>
        <v>Fail</v>
      </c>
      <c r="N52" s="12" t="str">
        <f t="shared" si="4"/>
        <v>C</v>
      </c>
    </row>
    <row r="53" spans="1:14" x14ac:dyDescent="0.35">
      <c r="A53" s="1">
        <v>52</v>
      </c>
      <c r="B53" s="1" t="s">
        <v>65</v>
      </c>
      <c r="C53" s="1" t="s">
        <v>10</v>
      </c>
      <c r="D53" s="1">
        <v>13</v>
      </c>
      <c r="E53" s="1" t="s">
        <v>18</v>
      </c>
      <c r="F53" s="1">
        <v>17</v>
      </c>
      <c r="G53" s="1">
        <v>99</v>
      </c>
      <c r="H53" s="1">
        <v>29</v>
      </c>
      <c r="I53" s="1">
        <v>85</v>
      </c>
      <c r="J53" s="2">
        <f t="shared" si="0"/>
        <v>230</v>
      </c>
      <c r="K53" s="6">
        <f t="shared" si="1"/>
        <v>57.5</v>
      </c>
      <c r="L53" s="8">
        <f t="shared" si="2"/>
        <v>57.499999999999993</v>
      </c>
      <c r="M53" s="9" t="str">
        <f t="shared" si="3"/>
        <v>Fail</v>
      </c>
      <c r="N53" s="12" t="str">
        <f t="shared" si="4"/>
        <v>C</v>
      </c>
    </row>
    <row r="54" spans="1:14" x14ac:dyDescent="0.35">
      <c r="A54" s="1">
        <v>53</v>
      </c>
      <c r="B54" s="1" t="s">
        <v>66</v>
      </c>
      <c r="C54" s="1" t="s">
        <v>10</v>
      </c>
      <c r="D54" s="1">
        <v>15</v>
      </c>
      <c r="E54" s="1" t="s">
        <v>14</v>
      </c>
      <c r="F54" s="1">
        <v>15</v>
      </c>
      <c r="G54" s="1">
        <v>84</v>
      </c>
      <c r="H54" s="1">
        <v>40</v>
      </c>
      <c r="I54" s="1">
        <v>40</v>
      </c>
      <c r="J54" s="2">
        <f t="shared" si="0"/>
        <v>179</v>
      </c>
      <c r="K54" s="6">
        <f t="shared" si="1"/>
        <v>44.75</v>
      </c>
      <c r="L54" s="8">
        <f t="shared" si="2"/>
        <v>44.75</v>
      </c>
      <c r="M54" s="9" t="str">
        <f t="shared" si="3"/>
        <v>Fail</v>
      </c>
      <c r="N54" s="12" t="str">
        <f t="shared" si="4"/>
        <v>D</v>
      </c>
    </row>
    <row r="55" spans="1:14" x14ac:dyDescent="0.35">
      <c r="A55" s="1">
        <v>54</v>
      </c>
      <c r="B55" s="1" t="s">
        <v>67</v>
      </c>
      <c r="C55" s="1" t="s">
        <v>13</v>
      </c>
      <c r="D55" s="1">
        <v>15</v>
      </c>
      <c r="E55" s="1" t="s">
        <v>11</v>
      </c>
      <c r="F55" s="1">
        <v>23</v>
      </c>
      <c r="G55" s="1">
        <v>44</v>
      </c>
      <c r="H55" s="1">
        <v>76</v>
      </c>
      <c r="I55" s="1">
        <v>46</v>
      </c>
      <c r="J55" s="2">
        <f t="shared" si="0"/>
        <v>189</v>
      </c>
      <c r="K55" s="6">
        <f t="shared" si="1"/>
        <v>47.25</v>
      </c>
      <c r="L55" s="8">
        <f t="shared" si="2"/>
        <v>47.25</v>
      </c>
      <c r="M55" s="9" t="str">
        <f t="shared" si="3"/>
        <v>Fail</v>
      </c>
      <c r="N55" s="12" t="str">
        <f t="shared" si="4"/>
        <v>D</v>
      </c>
    </row>
    <row r="56" spans="1:14" x14ac:dyDescent="0.35">
      <c r="A56" s="1">
        <v>55</v>
      </c>
      <c r="B56" s="1" t="s">
        <v>68</v>
      </c>
      <c r="C56" s="1" t="s">
        <v>13</v>
      </c>
      <c r="D56" s="1">
        <v>15</v>
      </c>
      <c r="E56" s="1" t="s">
        <v>14</v>
      </c>
      <c r="F56" s="1">
        <v>55</v>
      </c>
      <c r="G56" s="1">
        <v>64</v>
      </c>
      <c r="H56" s="1">
        <v>56</v>
      </c>
      <c r="I56" s="1">
        <v>69</v>
      </c>
      <c r="J56" s="2">
        <f t="shared" si="0"/>
        <v>244</v>
      </c>
      <c r="K56" s="6">
        <f t="shared" si="1"/>
        <v>61</v>
      </c>
      <c r="L56" s="8">
        <f t="shared" si="2"/>
        <v>61</v>
      </c>
      <c r="M56" s="9" t="str">
        <f t="shared" si="3"/>
        <v>Pass</v>
      </c>
      <c r="N56" s="12" t="str">
        <f t="shared" si="4"/>
        <v>B</v>
      </c>
    </row>
    <row r="57" spans="1:14" x14ac:dyDescent="0.35">
      <c r="A57" s="1">
        <v>56</v>
      </c>
      <c r="B57" s="1" t="s">
        <v>69</v>
      </c>
      <c r="C57" s="1" t="s">
        <v>10</v>
      </c>
      <c r="D57" s="1">
        <v>14</v>
      </c>
      <c r="E57" s="1" t="s">
        <v>14</v>
      </c>
      <c r="F57" s="1">
        <v>53</v>
      </c>
      <c r="G57" s="1">
        <v>53</v>
      </c>
      <c r="H57" s="1">
        <v>49</v>
      </c>
      <c r="I57" s="1">
        <v>43</v>
      </c>
      <c r="J57" s="2">
        <f t="shared" si="0"/>
        <v>198</v>
      </c>
      <c r="K57" s="6">
        <f t="shared" si="1"/>
        <v>49.5</v>
      </c>
      <c r="L57" s="8">
        <f t="shared" si="2"/>
        <v>49.5</v>
      </c>
      <c r="M57" s="9" t="str">
        <f t="shared" si="3"/>
        <v>Pass</v>
      </c>
      <c r="N57" s="12" t="str">
        <f t="shared" si="4"/>
        <v>D</v>
      </c>
    </row>
    <row r="58" spans="1:14" x14ac:dyDescent="0.35">
      <c r="A58" s="1">
        <v>57</v>
      </c>
      <c r="B58" s="1" t="s">
        <v>70</v>
      </c>
      <c r="C58" s="1" t="s">
        <v>13</v>
      </c>
      <c r="D58" s="1">
        <v>15</v>
      </c>
      <c r="E58" s="1" t="s">
        <v>18</v>
      </c>
      <c r="F58" s="1">
        <v>46</v>
      </c>
      <c r="G58" s="1">
        <v>37</v>
      </c>
      <c r="H58" s="1">
        <v>63</v>
      </c>
      <c r="I58" s="1">
        <v>17</v>
      </c>
      <c r="J58" s="2">
        <f t="shared" si="0"/>
        <v>163</v>
      </c>
      <c r="K58" s="6">
        <f t="shared" si="1"/>
        <v>40.75</v>
      </c>
      <c r="L58" s="8">
        <f t="shared" si="2"/>
        <v>40.75</v>
      </c>
      <c r="M58" s="9" t="str">
        <f t="shared" si="3"/>
        <v>Fail</v>
      </c>
      <c r="N58" s="12" t="str">
        <f t="shared" si="4"/>
        <v>D</v>
      </c>
    </row>
    <row r="59" spans="1:14" x14ac:dyDescent="0.35">
      <c r="A59" s="1">
        <v>58</v>
      </c>
      <c r="B59" s="1" t="s">
        <v>71</v>
      </c>
      <c r="C59" s="1" t="s">
        <v>13</v>
      </c>
      <c r="D59" s="1">
        <v>14</v>
      </c>
      <c r="E59" s="1" t="s">
        <v>18</v>
      </c>
      <c r="F59" s="1">
        <v>64</v>
      </c>
      <c r="G59" s="1">
        <v>1</v>
      </c>
      <c r="H59" s="1">
        <v>74</v>
      </c>
      <c r="I59" s="1">
        <v>6</v>
      </c>
      <c r="J59" s="2">
        <f t="shared" si="0"/>
        <v>145</v>
      </c>
      <c r="K59" s="6">
        <f t="shared" si="1"/>
        <v>36.25</v>
      </c>
      <c r="L59" s="8">
        <f t="shared" si="2"/>
        <v>36.25</v>
      </c>
      <c r="M59" s="9" t="str">
        <f t="shared" si="3"/>
        <v>Fail</v>
      </c>
      <c r="N59" s="12" t="str">
        <f t="shared" si="4"/>
        <v>D</v>
      </c>
    </row>
    <row r="60" spans="1:14" x14ac:dyDescent="0.35">
      <c r="A60" s="1">
        <v>59</v>
      </c>
      <c r="B60" s="1" t="s">
        <v>72</v>
      </c>
      <c r="C60" s="1" t="s">
        <v>10</v>
      </c>
      <c r="D60" s="1">
        <v>14</v>
      </c>
      <c r="E60" s="1" t="s">
        <v>11</v>
      </c>
      <c r="F60" s="1">
        <v>41</v>
      </c>
      <c r="G60" s="1">
        <v>37</v>
      </c>
      <c r="H60" s="1">
        <v>26</v>
      </c>
      <c r="I60" s="1">
        <v>65</v>
      </c>
      <c r="J60" s="2">
        <f t="shared" si="0"/>
        <v>169</v>
      </c>
      <c r="K60" s="6">
        <f t="shared" si="1"/>
        <v>42.25</v>
      </c>
      <c r="L60" s="8">
        <f t="shared" si="2"/>
        <v>42.25</v>
      </c>
      <c r="M60" s="9" t="str">
        <f t="shared" si="3"/>
        <v>Fail</v>
      </c>
      <c r="N60" s="12" t="str">
        <f t="shared" si="4"/>
        <v>D</v>
      </c>
    </row>
    <row r="61" spans="1:14" x14ac:dyDescent="0.35">
      <c r="A61" s="1">
        <v>60</v>
      </c>
      <c r="B61" s="1" t="s">
        <v>73</v>
      </c>
      <c r="C61" s="1" t="s">
        <v>10</v>
      </c>
      <c r="D61" s="1">
        <v>14</v>
      </c>
      <c r="E61" s="1" t="s">
        <v>14</v>
      </c>
      <c r="F61" s="1">
        <v>61</v>
      </c>
      <c r="G61" s="1">
        <v>71</v>
      </c>
      <c r="H61" s="1">
        <v>77</v>
      </c>
      <c r="I61" s="1">
        <v>64</v>
      </c>
      <c r="J61" s="2">
        <f t="shared" si="0"/>
        <v>273</v>
      </c>
      <c r="K61" s="6">
        <f t="shared" si="1"/>
        <v>68.25</v>
      </c>
      <c r="L61" s="8">
        <f t="shared" si="2"/>
        <v>68.25</v>
      </c>
      <c r="M61" s="9" t="str">
        <f t="shared" si="3"/>
        <v>Pass</v>
      </c>
      <c r="N61" s="12" t="str">
        <f t="shared" si="4"/>
        <v>B</v>
      </c>
    </row>
    <row r="62" spans="1:14" x14ac:dyDescent="0.35">
      <c r="A62" s="1">
        <v>61</v>
      </c>
      <c r="B62" s="1" t="s">
        <v>74</v>
      </c>
      <c r="C62" s="1" t="s">
        <v>10</v>
      </c>
      <c r="D62" s="1">
        <v>14</v>
      </c>
      <c r="E62" s="1" t="s">
        <v>11</v>
      </c>
      <c r="F62" s="1">
        <v>16</v>
      </c>
      <c r="G62" s="1">
        <v>57</v>
      </c>
      <c r="H62" s="1">
        <v>90</v>
      </c>
      <c r="I62" s="1">
        <v>14</v>
      </c>
      <c r="J62" s="2">
        <f t="shared" si="0"/>
        <v>177</v>
      </c>
      <c r="K62" s="6">
        <f t="shared" si="1"/>
        <v>44.25</v>
      </c>
      <c r="L62" s="8">
        <f t="shared" si="2"/>
        <v>44.25</v>
      </c>
      <c r="M62" s="9" t="str">
        <f t="shared" si="3"/>
        <v>Fail</v>
      </c>
      <c r="N62" s="12" t="str">
        <f t="shared" si="4"/>
        <v>D</v>
      </c>
    </row>
    <row r="63" spans="1:14" x14ac:dyDescent="0.35">
      <c r="A63" s="1">
        <v>62</v>
      </c>
      <c r="B63" s="1" t="s">
        <v>75</v>
      </c>
      <c r="C63" s="1" t="s">
        <v>10</v>
      </c>
      <c r="D63" s="1">
        <v>13</v>
      </c>
      <c r="E63" s="1" t="s">
        <v>11</v>
      </c>
      <c r="F63" s="1">
        <v>49</v>
      </c>
      <c r="G63" s="1">
        <v>90</v>
      </c>
      <c r="H63" s="1">
        <v>13</v>
      </c>
      <c r="I63" s="1">
        <v>98</v>
      </c>
      <c r="J63" s="2">
        <f t="shared" si="0"/>
        <v>250</v>
      </c>
      <c r="K63" s="6">
        <f t="shared" si="1"/>
        <v>62.5</v>
      </c>
      <c r="L63" s="8">
        <f t="shared" si="2"/>
        <v>62.5</v>
      </c>
      <c r="M63" s="9" t="str">
        <f t="shared" si="3"/>
        <v>Fail</v>
      </c>
      <c r="N63" s="12" t="str">
        <f t="shared" si="4"/>
        <v>B</v>
      </c>
    </row>
    <row r="64" spans="1:14" x14ac:dyDescent="0.35">
      <c r="A64" s="1">
        <v>63</v>
      </c>
      <c r="B64" s="1" t="s">
        <v>76</v>
      </c>
      <c r="C64" s="1" t="s">
        <v>13</v>
      </c>
      <c r="D64" s="1">
        <v>14</v>
      </c>
      <c r="E64" s="1" t="s">
        <v>18</v>
      </c>
      <c r="F64" s="1">
        <v>16</v>
      </c>
      <c r="G64" s="1">
        <v>45</v>
      </c>
      <c r="H64" s="1">
        <v>44</v>
      </c>
      <c r="I64" s="1">
        <v>5</v>
      </c>
      <c r="J64" s="2">
        <f t="shared" si="0"/>
        <v>110</v>
      </c>
      <c r="K64" s="6">
        <f t="shared" si="1"/>
        <v>27.5</v>
      </c>
      <c r="L64" s="8">
        <f t="shared" si="2"/>
        <v>27.500000000000004</v>
      </c>
      <c r="M64" s="9" t="str">
        <f t="shared" si="3"/>
        <v>Fail</v>
      </c>
      <c r="N64" s="12" t="str">
        <f t="shared" si="4"/>
        <v>F</v>
      </c>
    </row>
    <row r="65" spans="1:14" x14ac:dyDescent="0.35">
      <c r="A65" s="1">
        <v>64</v>
      </c>
      <c r="B65" s="1" t="s">
        <v>77</v>
      </c>
      <c r="C65" s="1" t="s">
        <v>13</v>
      </c>
      <c r="D65" s="1">
        <v>15</v>
      </c>
      <c r="E65" s="1" t="s">
        <v>14</v>
      </c>
      <c r="F65" s="1">
        <v>78</v>
      </c>
      <c r="G65" s="1">
        <v>74</v>
      </c>
      <c r="H65" s="1">
        <v>31</v>
      </c>
      <c r="I65" s="1">
        <v>85</v>
      </c>
      <c r="J65" s="2">
        <f t="shared" si="0"/>
        <v>268</v>
      </c>
      <c r="K65" s="6">
        <f t="shared" si="1"/>
        <v>67</v>
      </c>
      <c r="L65" s="8">
        <f t="shared" si="2"/>
        <v>67</v>
      </c>
      <c r="M65" s="9" t="str">
        <f t="shared" si="3"/>
        <v>Fail</v>
      </c>
      <c r="N65" s="12" t="str">
        <f t="shared" si="4"/>
        <v>B</v>
      </c>
    </row>
    <row r="66" spans="1:14" x14ac:dyDescent="0.35">
      <c r="A66" s="1">
        <v>65</v>
      </c>
      <c r="B66" s="1" t="s">
        <v>78</v>
      </c>
      <c r="C66" s="1" t="s">
        <v>10</v>
      </c>
      <c r="D66" s="1">
        <v>14</v>
      </c>
      <c r="E66" s="1" t="s">
        <v>11</v>
      </c>
      <c r="F66" s="1">
        <v>88</v>
      </c>
      <c r="G66" s="1">
        <v>72</v>
      </c>
      <c r="H66" s="1">
        <v>31</v>
      </c>
      <c r="I66" s="1">
        <v>27</v>
      </c>
      <c r="J66" s="2">
        <f t="shared" si="0"/>
        <v>218</v>
      </c>
      <c r="K66" s="6">
        <f t="shared" si="1"/>
        <v>54.5</v>
      </c>
      <c r="L66" s="8">
        <f t="shared" si="2"/>
        <v>54.500000000000007</v>
      </c>
      <c r="M66" s="9" t="str">
        <f t="shared" si="3"/>
        <v>Fail</v>
      </c>
      <c r="N66" s="12" t="str">
        <f t="shared" si="4"/>
        <v>C</v>
      </c>
    </row>
    <row r="67" spans="1:14" x14ac:dyDescent="0.35">
      <c r="A67" s="1">
        <v>66</v>
      </c>
      <c r="B67" s="1" t="s">
        <v>79</v>
      </c>
      <c r="C67" s="1" t="s">
        <v>10</v>
      </c>
      <c r="D67" s="1">
        <v>14</v>
      </c>
      <c r="E67" s="1" t="s">
        <v>11</v>
      </c>
      <c r="F67" s="1">
        <v>85</v>
      </c>
      <c r="G67" s="1">
        <v>6</v>
      </c>
      <c r="H67" s="1">
        <v>10</v>
      </c>
      <c r="I67" s="1">
        <v>85</v>
      </c>
      <c r="J67" s="2">
        <f t="shared" ref="J67:J130" si="5">SUM(E67:I67)</f>
        <v>186</v>
      </c>
      <c r="K67" s="6">
        <f t="shared" ref="K67:K130" si="6">AVERAGE(F67:I67)</f>
        <v>46.5</v>
      </c>
      <c r="L67" s="8">
        <f t="shared" ref="L67:L130" si="7">(J67/400)*100</f>
        <v>46.5</v>
      </c>
      <c r="M67" s="9" t="str">
        <f t="shared" ref="M67:M130" si="8">IF(AND(F67&gt;=35,G67&gt;=35,H67&gt;=35,I67&gt;=35),"Pass","Fail")</f>
        <v>Fail</v>
      </c>
      <c r="N67" s="12" t="str">
        <f t="shared" ref="N67:N130" si="9">IF(L67&gt;=75,"A",IF(L67&gt;=60,"B",IF(L67&gt;=50,"C",IF(L67&gt;=35,"D","F"))))</f>
        <v>D</v>
      </c>
    </row>
    <row r="68" spans="1:14" x14ac:dyDescent="0.35">
      <c r="A68" s="1">
        <v>67</v>
      </c>
      <c r="B68" s="1" t="s">
        <v>80</v>
      </c>
      <c r="C68" s="1" t="s">
        <v>10</v>
      </c>
      <c r="D68" s="1">
        <v>15</v>
      </c>
      <c r="E68" s="1" t="s">
        <v>11</v>
      </c>
      <c r="F68" s="1">
        <v>45</v>
      </c>
      <c r="G68" s="1">
        <v>41</v>
      </c>
      <c r="H68" s="1">
        <v>26</v>
      </c>
      <c r="I68" s="1">
        <v>12</v>
      </c>
      <c r="J68" s="2">
        <f t="shared" si="5"/>
        <v>124</v>
      </c>
      <c r="K68" s="6">
        <f t="shared" si="6"/>
        <v>31</v>
      </c>
      <c r="L68" s="8">
        <f t="shared" si="7"/>
        <v>31</v>
      </c>
      <c r="M68" s="9" t="str">
        <f t="shared" si="8"/>
        <v>Fail</v>
      </c>
      <c r="N68" s="12" t="str">
        <f t="shared" si="9"/>
        <v>F</v>
      </c>
    </row>
    <row r="69" spans="1:14" x14ac:dyDescent="0.35">
      <c r="A69" s="1">
        <v>68</v>
      </c>
      <c r="B69" s="1" t="s">
        <v>81</v>
      </c>
      <c r="C69" s="1" t="s">
        <v>13</v>
      </c>
      <c r="D69" s="1">
        <v>15</v>
      </c>
      <c r="E69" s="1" t="s">
        <v>11</v>
      </c>
      <c r="F69" s="1">
        <v>39</v>
      </c>
      <c r="G69" s="1">
        <v>7</v>
      </c>
      <c r="H69" s="1">
        <v>100</v>
      </c>
      <c r="I69" s="1">
        <v>70</v>
      </c>
      <c r="J69" s="2">
        <f t="shared" si="5"/>
        <v>216</v>
      </c>
      <c r="K69" s="6">
        <f t="shared" si="6"/>
        <v>54</v>
      </c>
      <c r="L69" s="8">
        <f t="shared" si="7"/>
        <v>54</v>
      </c>
      <c r="M69" s="9" t="str">
        <f t="shared" si="8"/>
        <v>Fail</v>
      </c>
      <c r="N69" s="12" t="str">
        <f t="shared" si="9"/>
        <v>C</v>
      </c>
    </row>
    <row r="70" spans="1:14" x14ac:dyDescent="0.35">
      <c r="A70" s="1">
        <v>69</v>
      </c>
      <c r="B70" s="1" t="s">
        <v>82</v>
      </c>
      <c r="C70" s="1" t="s">
        <v>10</v>
      </c>
      <c r="D70" s="1">
        <v>15</v>
      </c>
      <c r="E70" s="1" t="s">
        <v>18</v>
      </c>
      <c r="F70" s="1">
        <v>84</v>
      </c>
      <c r="G70" s="1">
        <v>97</v>
      </c>
      <c r="H70" s="1">
        <v>70</v>
      </c>
      <c r="I70" s="1">
        <v>96</v>
      </c>
      <c r="J70" s="2">
        <f t="shared" si="5"/>
        <v>347</v>
      </c>
      <c r="K70" s="6">
        <f t="shared" si="6"/>
        <v>86.75</v>
      </c>
      <c r="L70" s="8">
        <f t="shared" si="7"/>
        <v>86.75</v>
      </c>
      <c r="M70" s="9" t="str">
        <f t="shared" si="8"/>
        <v>Pass</v>
      </c>
      <c r="N70" s="12" t="str">
        <f t="shared" si="9"/>
        <v>A</v>
      </c>
    </row>
    <row r="71" spans="1:14" x14ac:dyDescent="0.35">
      <c r="A71" s="1">
        <v>70</v>
      </c>
      <c r="B71" s="1" t="s">
        <v>83</v>
      </c>
      <c r="C71" s="1" t="s">
        <v>10</v>
      </c>
      <c r="D71" s="1">
        <v>14</v>
      </c>
      <c r="E71" s="1" t="s">
        <v>14</v>
      </c>
      <c r="F71" s="1">
        <v>34</v>
      </c>
      <c r="G71" s="1">
        <v>71</v>
      </c>
      <c r="H71" s="1">
        <v>35</v>
      </c>
      <c r="I71" s="1">
        <v>47</v>
      </c>
      <c r="J71" s="2">
        <f t="shared" si="5"/>
        <v>187</v>
      </c>
      <c r="K71" s="6">
        <f t="shared" si="6"/>
        <v>46.75</v>
      </c>
      <c r="L71" s="8">
        <f t="shared" si="7"/>
        <v>46.75</v>
      </c>
      <c r="M71" s="9" t="str">
        <f t="shared" si="8"/>
        <v>Fail</v>
      </c>
      <c r="N71" s="12" t="str">
        <f t="shared" si="9"/>
        <v>D</v>
      </c>
    </row>
    <row r="72" spans="1:14" x14ac:dyDescent="0.35">
      <c r="A72" s="1">
        <v>71</v>
      </c>
      <c r="B72" s="1" t="s">
        <v>84</v>
      </c>
      <c r="C72" s="1" t="s">
        <v>10</v>
      </c>
      <c r="D72" s="1">
        <v>15</v>
      </c>
      <c r="E72" s="1" t="s">
        <v>11</v>
      </c>
      <c r="F72" s="1">
        <v>95</v>
      </c>
      <c r="G72" s="1">
        <v>32</v>
      </c>
      <c r="H72" s="1">
        <v>91</v>
      </c>
      <c r="I72" s="1">
        <v>48</v>
      </c>
      <c r="J72" s="2">
        <f t="shared" si="5"/>
        <v>266</v>
      </c>
      <c r="K72" s="6">
        <f t="shared" si="6"/>
        <v>66.5</v>
      </c>
      <c r="L72" s="8">
        <f t="shared" si="7"/>
        <v>66.5</v>
      </c>
      <c r="M72" s="9" t="str">
        <f t="shared" si="8"/>
        <v>Fail</v>
      </c>
      <c r="N72" s="12" t="str">
        <f t="shared" si="9"/>
        <v>B</v>
      </c>
    </row>
    <row r="73" spans="1:14" x14ac:dyDescent="0.35">
      <c r="A73" s="1">
        <v>72</v>
      </c>
      <c r="B73" s="1" t="s">
        <v>85</v>
      </c>
      <c r="C73" s="1" t="s">
        <v>13</v>
      </c>
      <c r="D73" s="1">
        <v>14</v>
      </c>
      <c r="E73" s="1" t="s">
        <v>11</v>
      </c>
      <c r="F73" s="1">
        <v>48</v>
      </c>
      <c r="G73" s="1">
        <v>59</v>
      </c>
      <c r="H73" s="1">
        <v>60</v>
      </c>
      <c r="I73" s="1">
        <v>58</v>
      </c>
      <c r="J73" s="2">
        <f t="shared" si="5"/>
        <v>225</v>
      </c>
      <c r="K73" s="6">
        <f t="shared" si="6"/>
        <v>56.25</v>
      </c>
      <c r="L73" s="8">
        <f t="shared" si="7"/>
        <v>56.25</v>
      </c>
      <c r="M73" s="9" t="str">
        <f t="shared" si="8"/>
        <v>Pass</v>
      </c>
      <c r="N73" s="12" t="str">
        <f t="shared" si="9"/>
        <v>C</v>
      </c>
    </row>
    <row r="74" spans="1:14" x14ac:dyDescent="0.35">
      <c r="A74" s="1">
        <v>73</v>
      </c>
      <c r="B74" s="1" t="s">
        <v>86</v>
      </c>
      <c r="C74" s="1" t="s">
        <v>13</v>
      </c>
      <c r="D74" s="1">
        <v>13</v>
      </c>
      <c r="E74" s="1" t="s">
        <v>18</v>
      </c>
      <c r="F74" s="1">
        <v>72</v>
      </c>
      <c r="G74" s="1">
        <v>78</v>
      </c>
      <c r="H74" s="1">
        <v>40</v>
      </c>
      <c r="I74" s="1">
        <v>78</v>
      </c>
      <c r="J74" s="2">
        <f t="shared" si="5"/>
        <v>268</v>
      </c>
      <c r="K74" s="6">
        <f t="shared" si="6"/>
        <v>67</v>
      </c>
      <c r="L74" s="8">
        <f t="shared" si="7"/>
        <v>67</v>
      </c>
      <c r="M74" s="9" t="str">
        <f t="shared" si="8"/>
        <v>Pass</v>
      </c>
      <c r="N74" s="12" t="str">
        <f t="shared" si="9"/>
        <v>B</v>
      </c>
    </row>
    <row r="75" spans="1:14" x14ac:dyDescent="0.35">
      <c r="A75" s="1">
        <v>74</v>
      </c>
      <c r="B75" s="1" t="s">
        <v>87</v>
      </c>
      <c r="C75" s="1" t="s">
        <v>13</v>
      </c>
      <c r="D75" s="1">
        <v>13</v>
      </c>
      <c r="E75" s="1" t="s">
        <v>14</v>
      </c>
      <c r="F75" s="1">
        <v>46</v>
      </c>
      <c r="G75" s="1">
        <v>89</v>
      </c>
      <c r="H75" s="1">
        <v>83</v>
      </c>
      <c r="I75" s="1">
        <v>64</v>
      </c>
      <c r="J75" s="2">
        <f t="shared" si="5"/>
        <v>282</v>
      </c>
      <c r="K75" s="6">
        <f t="shared" si="6"/>
        <v>70.5</v>
      </c>
      <c r="L75" s="8">
        <f t="shared" si="7"/>
        <v>70.5</v>
      </c>
      <c r="M75" s="9" t="str">
        <f t="shared" si="8"/>
        <v>Pass</v>
      </c>
      <c r="N75" s="12" t="str">
        <f t="shared" si="9"/>
        <v>B</v>
      </c>
    </row>
    <row r="76" spans="1:14" x14ac:dyDescent="0.35">
      <c r="A76" s="1">
        <v>75</v>
      </c>
      <c r="B76" s="1" t="s">
        <v>88</v>
      </c>
      <c r="C76" s="1" t="s">
        <v>10</v>
      </c>
      <c r="D76" s="1">
        <v>13</v>
      </c>
      <c r="E76" s="1" t="s">
        <v>14</v>
      </c>
      <c r="F76" s="1">
        <v>85</v>
      </c>
      <c r="G76" s="1">
        <v>10</v>
      </c>
      <c r="H76" s="1">
        <v>62</v>
      </c>
      <c r="I76" s="1">
        <v>62</v>
      </c>
      <c r="J76" s="2">
        <f t="shared" si="5"/>
        <v>219</v>
      </c>
      <c r="K76" s="6">
        <f t="shared" si="6"/>
        <v>54.75</v>
      </c>
      <c r="L76" s="8">
        <f t="shared" si="7"/>
        <v>54.75</v>
      </c>
      <c r="M76" s="9" t="str">
        <f t="shared" si="8"/>
        <v>Fail</v>
      </c>
      <c r="N76" s="12" t="str">
        <f t="shared" si="9"/>
        <v>C</v>
      </c>
    </row>
    <row r="77" spans="1:14" x14ac:dyDescent="0.35">
      <c r="A77" s="1">
        <v>76</v>
      </c>
      <c r="B77" s="1" t="s">
        <v>89</v>
      </c>
      <c r="C77" s="1" t="s">
        <v>13</v>
      </c>
      <c r="D77" s="1">
        <v>15</v>
      </c>
      <c r="E77" s="1" t="s">
        <v>11</v>
      </c>
      <c r="F77" s="1">
        <v>32</v>
      </c>
      <c r="G77" s="1">
        <v>31</v>
      </c>
      <c r="H77" s="1">
        <v>89</v>
      </c>
      <c r="I77" s="1">
        <v>30</v>
      </c>
      <c r="J77" s="2">
        <f t="shared" si="5"/>
        <v>182</v>
      </c>
      <c r="K77" s="6">
        <f t="shared" si="6"/>
        <v>45.5</v>
      </c>
      <c r="L77" s="8">
        <f t="shared" si="7"/>
        <v>45.5</v>
      </c>
      <c r="M77" s="9" t="str">
        <f t="shared" si="8"/>
        <v>Fail</v>
      </c>
      <c r="N77" s="12" t="str">
        <f t="shared" si="9"/>
        <v>D</v>
      </c>
    </row>
    <row r="78" spans="1:14" x14ac:dyDescent="0.35">
      <c r="A78" s="1">
        <v>77</v>
      </c>
      <c r="B78" s="1" t="s">
        <v>90</v>
      </c>
      <c r="C78" s="1" t="s">
        <v>10</v>
      </c>
      <c r="D78" s="1">
        <v>13</v>
      </c>
      <c r="E78" s="1" t="s">
        <v>14</v>
      </c>
      <c r="F78" s="1">
        <v>27</v>
      </c>
      <c r="G78" s="1">
        <v>2</v>
      </c>
      <c r="H78" s="1">
        <v>63</v>
      </c>
      <c r="I78" s="1">
        <v>100</v>
      </c>
      <c r="J78" s="2">
        <f t="shared" si="5"/>
        <v>192</v>
      </c>
      <c r="K78" s="6">
        <f t="shared" si="6"/>
        <v>48</v>
      </c>
      <c r="L78" s="8">
        <f t="shared" si="7"/>
        <v>48</v>
      </c>
      <c r="M78" s="9" t="str">
        <f t="shared" si="8"/>
        <v>Fail</v>
      </c>
      <c r="N78" s="12" t="str">
        <f t="shared" si="9"/>
        <v>D</v>
      </c>
    </row>
    <row r="79" spans="1:14" x14ac:dyDescent="0.35">
      <c r="A79" s="1">
        <v>78</v>
      </c>
      <c r="B79" s="1" t="s">
        <v>91</v>
      </c>
      <c r="C79" s="1" t="s">
        <v>13</v>
      </c>
      <c r="D79" s="1">
        <v>15</v>
      </c>
      <c r="E79" s="1" t="s">
        <v>14</v>
      </c>
      <c r="F79" s="1">
        <v>87</v>
      </c>
      <c r="G79" s="1">
        <v>45</v>
      </c>
      <c r="H79" s="1">
        <v>73</v>
      </c>
      <c r="I79" s="1">
        <v>48</v>
      </c>
      <c r="J79" s="2">
        <f t="shared" si="5"/>
        <v>253</v>
      </c>
      <c r="K79" s="6">
        <f t="shared" si="6"/>
        <v>63.25</v>
      </c>
      <c r="L79" s="8">
        <f t="shared" si="7"/>
        <v>63.249999999999993</v>
      </c>
      <c r="M79" s="9" t="str">
        <f t="shared" si="8"/>
        <v>Pass</v>
      </c>
      <c r="N79" s="12" t="str">
        <f t="shared" si="9"/>
        <v>B</v>
      </c>
    </row>
    <row r="80" spans="1:14" x14ac:dyDescent="0.35">
      <c r="A80" s="1">
        <v>79</v>
      </c>
      <c r="B80" s="1" t="s">
        <v>92</v>
      </c>
      <c r="C80" s="1" t="s">
        <v>13</v>
      </c>
      <c r="D80" s="1">
        <v>13</v>
      </c>
      <c r="E80" s="1" t="s">
        <v>11</v>
      </c>
      <c r="F80" s="1">
        <v>27</v>
      </c>
      <c r="G80" s="1">
        <v>96</v>
      </c>
      <c r="H80" s="1">
        <v>89</v>
      </c>
      <c r="I80" s="1">
        <v>49</v>
      </c>
      <c r="J80" s="2">
        <f t="shared" si="5"/>
        <v>261</v>
      </c>
      <c r="K80" s="6">
        <f t="shared" si="6"/>
        <v>65.25</v>
      </c>
      <c r="L80" s="8">
        <f t="shared" si="7"/>
        <v>65.25</v>
      </c>
      <c r="M80" s="9" t="str">
        <f t="shared" si="8"/>
        <v>Fail</v>
      </c>
      <c r="N80" s="12" t="str">
        <f t="shared" si="9"/>
        <v>B</v>
      </c>
    </row>
    <row r="81" spans="1:14" x14ac:dyDescent="0.35">
      <c r="A81" s="1">
        <v>80</v>
      </c>
      <c r="B81" s="1" t="s">
        <v>93</v>
      </c>
      <c r="C81" s="1" t="s">
        <v>13</v>
      </c>
      <c r="D81" s="1">
        <v>13</v>
      </c>
      <c r="E81" s="1" t="s">
        <v>14</v>
      </c>
      <c r="F81" s="1">
        <v>13</v>
      </c>
      <c r="G81" s="1">
        <v>18</v>
      </c>
      <c r="H81" s="1">
        <v>80</v>
      </c>
      <c r="I81" s="1">
        <v>82</v>
      </c>
      <c r="J81" s="2">
        <f t="shared" si="5"/>
        <v>193</v>
      </c>
      <c r="K81" s="6">
        <f t="shared" si="6"/>
        <v>48.25</v>
      </c>
      <c r="L81" s="8">
        <f t="shared" si="7"/>
        <v>48.25</v>
      </c>
      <c r="M81" s="9" t="str">
        <f t="shared" si="8"/>
        <v>Fail</v>
      </c>
      <c r="N81" s="12" t="str">
        <f t="shared" si="9"/>
        <v>D</v>
      </c>
    </row>
    <row r="82" spans="1:14" x14ac:dyDescent="0.35">
      <c r="A82" s="1">
        <v>81</v>
      </c>
      <c r="B82" s="1" t="s">
        <v>94</v>
      </c>
      <c r="C82" s="1" t="s">
        <v>13</v>
      </c>
      <c r="D82" s="1">
        <v>15</v>
      </c>
      <c r="E82" s="1" t="s">
        <v>18</v>
      </c>
      <c r="F82" s="1">
        <v>1</v>
      </c>
      <c r="G82" s="1">
        <v>90</v>
      </c>
      <c r="H82" s="1">
        <v>42</v>
      </c>
      <c r="I82" s="1">
        <v>94</v>
      </c>
      <c r="J82" s="2">
        <f t="shared" si="5"/>
        <v>227</v>
      </c>
      <c r="K82" s="6">
        <f t="shared" si="6"/>
        <v>56.75</v>
      </c>
      <c r="L82" s="8">
        <f t="shared" si="7"/>
        <v>56.75</v>
      </c>
      <c r="M82" s="9" t="str">
        <f t="shared" si="8"/>
        <v>Fail</v>
      </c>
      <c r="N82" s="12" t="str">
        <f t="shared" si="9"/>
        <v>C</v>
      </c>
    </row>
    <row r="83" spans="1:14" x14ac:dyDescent="0.35">
      <c r="A83" s="1">
        <v>82</v>
      </c>
      <c r="B83" s="1" t="s">
        <v>95</v>
      </c>
      <c r="C83" s="1" t="s">
        <v>13</v>
      </c>
      <c r="D83" s="1">
        <v>15</v>
      </c>
      <c r="E83" s="1" t="s">
        <v>11</v>
      </c>
      <c r="F83" s="1">
        <v>84</v>
      </c>
      <c r="G83" s="1">
        <v>85</v>
      </c>
      <c r="H83" s="1">
        <v>14</v>
      </c>
      <c r="I83" s="1">
        <v>24</v>
      </c>
      <c r="J83" s="2">
        <f t="shared" si="5"/>
        <v>207</v>
      </c>
      <c r="K83" s="6">
        <f t="shared" si="6"/>
        <v>51.75</v>
      </c>
      <c r="L83" s="8">
        <f t="shared" si="7"/>
        <v>51.749999999999993</v>
      </c>
      <c r="M83" s="9" t="str">
        <f t="shared" si="8"/>
        <v>Fail</v>
      </c>
      <c r="N83" s="12" t="str">
        <f t="shared" si="9"/>
        <v>C</v>
      </c>
    </row>
    <row r="84" spans="1:14" x14ac:dyDescent="0.35">
      <c r="A84" s="1">
        <v>83</v>
      </c>
      <c r="B84" s="1" t="s">
        <v>96</v>
      </c>
      <c r="C84" s="1" t="s">
        <v>13</v>
      </c>
      <c r="D84" s="1">
        <v>14</v>
      </c>
      <c r="E84" s="1" t="s">
        <v>18</v>
      </c>
      <c r="F84" s="1">
        <v>59</v>
      </c>
      <c r="G84" s="1">
        <v>12</v>
      </c>
      <c r="H84" s="1">
        <v>45</v>
      </c>
      <c r="I84" s="1">
        <v>64</v>
      </c>
      <c r="J84" s="2">
        <f t="shared" si="5"/>
        <v>180</v>
      </c>
      <c r="K84" s="6">
        <f t="shared" si="6"/>
        <v>45</v>
      </c>
      <c r="L84" s="8">
        <f t="shared" si="7"/>
        <v>45</v>
      </c>
      <c r="M84" s="9" t="str">
        <f t="shared" si="8"/>
        <v>Fail</v>
      </c>
      <c r="N84" s="12" t="str">
        <f t="shared" si="9"/>
        <v>D</v>
      </c>
    </row>
    <row r="85" spans="1:14" x14ac:dyDescent="0.35">
      <c r="A85" s="1">
        <v>84</v>
      </c>
      <c r="B85" s="1" t="s">
        <v>97</v>
      </c>
      <c r="C85" s="1" t="s">
        <v>13</v>
      </c>
      <c r="D85" s="1">
        <v>13</v>
      </c>
      <c r="E85" s="1" t="s">
        <v>11</v>
      </c>
      <c r="F85" s="1">
        <v>34</v>
      </c>
      <c r="G85" s="1">
        <v>18</v>
      </c>
      <c r="H85" s="1">
        <v>39</v>
      </c>
      <c r="I85" s="1">
        <v>94</v>
      </c>
      <c r="J85" s="2">
        <f t="shared" si="5"/>
        <v>185</v>
      </c>
      <c r="K85" s="6">
        <f t="shared" si="6"/>
        <v>46.25</v>
      </c>
      <c r="L85" s="8">
        <f t="shared" si="7"/>
        <v>46.25</v>
      </c>
      <c r="M85" s="9" t="str">
        <f t="shared" si="8"/>
        <v>Fail</v>
      </c>
      <c r="N85" s="12" t="str">
        <f t="shared" si="9"/>
        <v>D</v>
      </c>
    </row>
    <row r="86" spans="1:14" x14ac:dyDescent="0.35">
      <c r="A86" s="1">
        <v>85</v>
      </c>
      <c r="B86" s="1" t="s">
        <v>98</v>
      </c>
      <c r="C86" s="1" t="s">
        <v>10</v>
      </c>
      <c r="D86" s="1">
        <v>13</v>
      </c>
      <c r="E86" s="1" t="s">
        <v>11</v>
      </c>
      <c r="F86" s="1">
        <v>36</v>
      </c>
      <c r="G86" s="1">
        <v>95</v>
      </c>
      <c r="H86" s="1">
        <v>55</v>
      </c>
      <c r="I86" s="1">
        <v>46</v>
      </c>
      <c r="J86" s="2">
        <f t="shared" si="5"/>
        <v>232</v>
      </c>
      <c r="K86" s="6">
        <f t="shared" si="6"/>
        <v>58</v>
      </c>
      <c r="L86" s="8">
        <f t="shared" si="7"/>
        <v>57.999999999999993</v>
      </c>
      <c r="M86" s="9" t="str">
        <f t="shared" si="8"/>
        <v>Pass</v>
      </c>
      <c r="N86" s="12" t="str">
        <f t="shared" si="9"/>
        <v>C</v>
      </c>
    </row>
    <row r="87" spans="1:14" x14ac:dyDescent="0.35">
      <c r="A87" s="1">
        <v>86</v>
      </c>
      <c r="B87" s="1" t="s">
        <v>99</v>
      </c>
      <c r="C87" s="1" t="s">
        <v>13</v>
      </c>
      <c r="D87" s="1">
        <v>15</v>
      </c>
      <c r="E87" s="1" t="s">
        <v>11</v>
      </c>
      <c r="F87" s="1">
        <v>17</v>
      </c>
      <c r="G87" s="1">
        <v>75</v>
      </c>
      <c r="H87" s="1">
        <v>8</v>
      </c>
      <c r="I87" s="1">
        <v>71</v>
      </c>
      <c r="J87" s="2">
        <f t="shared" si="5"/>
        <v>171</v>
      </c>
      <c r="K87" s="6">
        <f t="shared" si="6"/>
        <v>42.75</v>
      </c>
      <c r="L87" s="8">
        <f t="shared" si="7"/>
        <v>42.75</v>
      </c>
      <c r="M87" s="9" t="str">
        <f t="shared" si="8"/>
        <v>Fail</v>
      </c>
      <c r="N87" s="12" t="str">
        <f t="shared" si="9"/>
        <v>D</v>
      </c>
    </row>
    <row r="88" spans="1:14" x14ac:dyDescent="0.35">
      <c r="A88" s="1">
        <v>87</v>
      </c>
      <c r="B88" s="1" t="s">
        <v>100</v>
      </c>
      <c r="C88" s="1" t="s">
        <v>10</v>
      </c>
      <c r="D88" s="1">
        <v>13</v>
      </c>
      <c r="E88" s="1" t="s">
        <v>18</v>
      </c>
      <c r="F88" s="1">
        <v>8</v>
      </c>
      <c r="G88" s="1">
        <v>72</v>
      </c>
      <c r="H88" s="1">
        <v>78</v>
      </c>
      <c r="I88" s="1">
        <v>14</v>
      </c>
      <c r="J88" s="2">
        <f t="shared" si="5"/>
        <v>172</v>
      </c>
      <c r="K88" s="6">
        <f t="shared" si="6"/>
        <v>43</v>
      </c>
      <c r="L88" s="8">
        <f t="shared" si="7"/>
        <v>43</v>
      </c>
      <c r="M88" s="9" t="str">
        <f t="shared" si="8"/>
        <v>Fail</v>
      </c>
      <c r="N88" s="12" t="str">
        <f t="shared" si="9"/>
        <v>D</v>
      </c>
    </row>
    <row r="89" spans="1:14" x14ac:dyDescent="0.35">
      <c r="A89" s="1">
        <v>88</v>
      </c>
      <c r="B89" s="1" t="s">
        <v>101</v>
      </c>
      <c r="C89" s="1" t="s">
        <v>10</v>
      </c>
      <c r="D89" s="1">
        <v>15</v>
      </c>
      <c r="E89" s="1" t="s">
        <v>11</v>
      </c>
      <c r="F89" s="1">
        <v>44</v>
      </c>
      <c r="G89" s="1">
        <v>55</v>
      </c>
      <c r="H89" s="1">
        <v>51</v>
      </c>
      <c r="I89" s="1">
        <v>100</v>
      </c>
      <c r="J89" s="2">
        <f t="shared" si="5"/>
        <v>250</v>
      </c>
      <c r="K89" s="6">
        <f t="shared" si="6"/>
        <v>62.5</v>
      </c>
      <c r="L89" s="8">
        <f t="shared" si="7"/>
        <v>62.5</v>
      </c>
      <c r="M89" s="9" t="str">
        <f t="shared" si="8"/>
        <v>Pass</v>
      </c>
      <c r="N89" s="12" t="str">
        <f t="shared" si="9"/>
        <v>B</v>
      </c>
    </row>
    <row r="90" spans="1:14" x14ac:dyDescent="0.35">
      <c r="A90" s="1">
        <v>89</v>
      </c>
      <c r="B90" s="1" t="s">
        <v>102</v>
      </c>
      <c r="C90" s="1" t="s">
        <v>10</v>
      </c>
      <c r="D90" s="1">
        <v>15</v>
      </c>
      <c r="E90" s="1" t="s">
        <v>18</v>
      </c>
      <c r="F90" s="1">
        <v>58</v>
      </c>
      <c r="G90" s="1">
        <v>16</v>
      </c>
      <c r="H90" s="1">
        <v>64</v>
      </c>
      <c r="I90" s="1">
        <v>67</v>
      </c>
      <c r="J90" s="2">
        <f t="shared" si="5"/>
        <v>205</v>
      </c>
      <c r="K90" s="6">
        <f t="shared" si="6"/>
        <v>51.25</v>
      </c>
      <c r="L90" s="8">
        <f t="shared" si="7"/>
        <v>51.249999999999993</v>
      </c>
      <c r="M90" s="9" t="str">
        <f t="shared" si="8"/>
        <v>Fail</v>
      </c>
      <c r="N90" s="12" t="str">
        <f t="shared" si="9"/>
        <v>C</v>
      </c>
    </row>
    <row r="91" spans="1:14" x14ac:dyDescent="0.35">
      <c r="A91" s="1">
        <v>90</v>
      </c>
      <c r="B91" s="1" t="s">
        <v>103</v>
      </c>
      <c r="C91" s="1" t="s">
        <v>13</v>
      </c>
      <c r="D91" s="1">
        <v>15</v>
      </c>
      <c r="E91" s="1" t="s">
        <v>11</v>
      </c>
      <c r="F91" s="1">
        <v>64</v>
      </c>
      <c r="G91" s="1">
        <v>20</v>
      </c>
      <c r="H91" s="1">
        <v>86</v>
      </c>
      <c r="I91" s="1">
        <v>84</v>
      </c>
      <c r="J91" s="2">
        <f t="shared" si="5"/>
        <v>254</v>
      </c>
      <c r="K91" s="6">
        <f t="shared" si="6"/>
        <v>63.5</v>
      </c>
      <c r="L91" s="8">
        <f t="shared" si="7"/>
        <v>63.5</v>
      </c>
      <c r="M91" s="9" t="str">
        <f t="shared" si="8"/>
        <v>Fail</v>
      </c>
      <c r="N91" s="12" t="str">
        <f t="shared" si="9"/>
        <v>B</v>
      </c>
    </row>
    <row r="92" spans="1:14" x14ac:dyDescent="0.35">
      <c r="A92" s="1">
        <v>91</v>
      </c>
      <c r="B92" s="1" t="s">
        <v>104</v>
      </c>
      <c r="C92" s="1" t="s">
        <v>13</v>
      </c>
      <c r="D92" s="1">
        <v>13</v>
      </c>
      <c r="E92" s="1" t="s">
        <v>11</v>
      </c>
      <c r="F92" s="1">
        <v>23</v>
      </c>
      <c r="G92" s="1">
        <v>2</v>
      </c>
      <c r="H92" s="1">
        <v>42</v>
      </c>
      <c r="I92" s="1">
        <v>43</v>
      </c>
      <c r="J92" s="2">
        <f t="shared" si="5"/>
        <v>110</v>
      </c>
      <c r="K92" s="6">
        <f t="shared" si="6"/>
        <v>27.5</v>
      </c>
      <c r="L92" s="8">
        <f t="shared" si="7"/>
        <v>27.500000000000004</v>
      </c>
      <c r="M92" s="9" t="str">
        <f t="shared" si="8"/>
        <v>Fail</v>
      </c>
      <c r="N92" s="12" t="str">
        <f t="shared" si="9"/>
        <v>F</v>
      </c>
    </row>
    <row r="93" spans="1:14" x14ac:dyDescent="0.35">
      <c r="A93" s="1">
        <v>92</v>
      </c>
      <c r="B93" s="1" t="s">
        <v>105</v>
      </c>
      <c r="C93" s="1" t="s">
        <v>10</v>
      </c>
      <c r="D93" s="1">
        <v>15</v>
      </c>
      <c r="E93" s="1" t="s">
        <v>18</v>
      </c>
      <c r="F93" s="1">
        <v>79</v>
      </c>
      <c r="G93" s="1">
        <v>82</v>
      </c>
      <c r="H93" s="1">
        <v>99</v>
      </c>
      <c r="I93" s="1">
        <v>81</v>
      </c>
      <c r="J93" s="2">
        <f t="shared" si="5"/>
        <v>341</v>
      </c>
      <c r="K93" s="6">
        <f t="shared" si="6"/>
        <v>85.25</v>
      </c>
      <c r="L93" s="8">
        <f t="shared" si="7"/>
        <v>85.25</v>
      </c>
      <c r="M93" s="9" t="str">
        <f t="shared" si="8"/>
        <v>Pass</v>
      </c>
      <c r="N93" s="12" t="str">
        <f t="shared" si="9"/>
        <v>A</v>
      </c>
    </row>
    <row r="94" spans="1:14" x14ac:dyDescent="0.35">
      <c r="A94" s="1">
        <v>93</v>
      </c>
      <c r="B94" s="1" t="s">
        <v>106</v>
      </c>
      <c r="C94" s="1" t="s">
        <v>10</v>
      </c>
      <c r="D94" s="1">
        <v>15</v>
      </c>
      <c r="E94" s="1" t="s">
        <v>18</v>
      </c>
      <c r="F94" s="1">
        <v>22</v>
      </c>
      <c r="G94" s="1">
        <v>86</v>
      </c>
      <c r="H94" s="1">
        <v>9</v>
      </c>
      <c r="I94" s="1">
        <v>38</v>
      </c>
      <c r="J94" s="2">
        <f t="shared" si="5"/>
        <v>155</v>
      </c>
      <c r="K94" s="6">
        <f t="shared" si="6"/>
        <v>38.75</v>
      </c>
      <c r="L94" s="8">
        <f t="shared" si="7"/>
        <v>38.75</v>
      </c>
      <c r="M94" s="9" t="str">
        <f t="shared" si="8"/>
        <v>Fail</v>
      </c>
      <c r="N94" s="12" t="str">
        <f t="shared" si="9"/>
        <v>D</v>
      </c>
    </row>
    <row r="95" spans="1:14" x14ac:dyDescent="0.35">
      <c r="A95" s="1">
        <v>94</v>
      </c>
      <c r="B95" s="1" t="s">
        <v>107</v>
      </c>
      <c r="C95" s="1" t="s">
        <v>10</v>
      </c>
      <c r="D95" s="1">
        <v>13</v>
      </c>
      <c r="E95" s="1" t="s">
        <v>18</v>
      </c>
      <c r="F95" s="1">
        <v>43</v>
      </c>
      <c r="G95" s="1">
        <v>65</v>
      </c>
      <c r="H95" s="1">
        <v>18</v>
      </c>
      <c r="I95" s="1">
        <v>26</v>
      </c>
      <c r="J95" s="2">
        <f t="shared" si="5"/>
        <v>152</v>
      </c>
      <c r="K95" s="6">
        <f t="shared" si="6"/>
        <v>38</v>
      </c>
      <c r="L95" s="8">
        <f t="shared" si="7"/>
        <v>38</v>
      </c>
      <c r="M95" s="9" t="str">
        <f t="shared" si="8"/>
        <v>Fail</v>
      </c>
      <c r="N95" s="12" t="str">
        <f t="shared" si="9"/>
        <v>D</v>
      </c>
    </row>
    <row r="96" spans="1:14" x14ac:dyDescent="0.35">
      <c r="A96" s="1">
        <v>95</v>
      </c>
      <c r="B96" s="1" t="s">
        <v>108</v>
      </c>
      <c r="C96" s="1" t="s">
        <v>13</v>
      </c>
      <c r="D96" s="1">
        <v>14</v>
      </c>
      <c r="E96" s="1" t="s">
        <v>18</v>
      </c>
      <c r="F96" s="1">
        <v>64</v>
      </c>
      <c r="G96" s="1">
        <v>18</v>
      </c>
      <c r="H96" s="1">
        <v>73</v>
      </c>
      <c r="I96" s="1">
        <v>37</v>
      </c>
      <c r="J96" s="2">
        <f t="shared" si="5"/>
        <v>192</v>
      </c>
      <c r="K96" s="6">
        <f t="shared" si="6"/>
        <v>48</v>
      </c>
      <c r="L96" s="8">
        <f t="shared" si="7"/>
        <v>48</v>
      </c>
      <c r="M96" s="9" t="str">
        <f t="shared" si="8"/>
        <v>Fail</v>
      </c>
      <c r="N96" s="12" t="str">
        <f t="shared" si="9"/>
        <v>D</v>
      </c>
    </row>
    <row r="97" spans="1:14" x14ac:dyDescent="0.35">
      <c r="A97" s="1">
        <v>96</v>
      </c>
      <c r="B97" s="1" t="s">
        <v>109</v>
      </c>
      <c r="C97" s="1" t="s">
        <v>10</v>
      </c>
      <c r="D97" s="1">
        <v>15</v>
      </c>
      <c r="E97" s="1" t="s">
        <v>18</v>
      </c>
      <c r="F97" s="1">
        <v>58</v>
      </c>
      <c r="G97" s="1">
        <v>10</v>
      </c>
      <c r="H97" s="1">
        <v>99</v>
      </c>
      <c r="I97" s="1">
        <v>44</v>
      </c>
      <c r="J97" s="2">
        <f t="shared" si="5"/>
        <v>211</v>
      </c>
      <c r="K97" s="6">
        <f t="shared" si="6"/>
        <v>52.75</v>
      </c>
      <c r="L97" s="8">
        <f t="shared" si="7"/>
        <v>52.75</v>
      </c>
      <c r="M97" s="9" t="str">
        <f t="shared" si="8"/>
        <v>Fail</v>
      </c>
      <c r="N97" s="12" t="str">
        <f t="shared" si="9"/>
        <v>C</v>
      </c>
    </row>
    <row r="98" spans="1:14" x14ac:dyDescent="0.35">
      <c r="A98" s="1">
        <v>97</v>
      </c>
      <c r="B98" s="1" t="s">
        <v>110</v>
      </c>
      <c r="C98" s="1" t="s">
        <v>13</v>
      </c>
      <c r="D98" s="1">
        <v>13</v>
      </c>
      <c r="E98" s="1" t="s">
        <v>18</v>
      </c>
      <c r="F98" s="1">
        <v>19</v>
      </c>
      <c r="G98" s="1">
        <v>98</v>
      </c>
      <c r="H98" s="1">
        <v>13</v>
      </c>
      <c r="I98" s="1">
        <v>86</v>
      </c>
      <c r="J98" s="2">
        <f t="shared" si="5"/>
        <v>216</v>
      </c>
      <c r="K98" s="6">
        <f t="shared" si="6"/>
        <v>54</v>
      </c>
      <c r="L98" s="8">
        <f t="shared" si="7"/>
        <v>54</v>
      </c>
      <c r="M98" s="9" t="str">
        <f t="shared" si="8"/>
        <v>Fail</v>
      </c>
      <c r="N98" s="12" t="str">
        <f t="shared" si="9"/>
        <v>C</v>
      </c>
    </row>
    <row r="99" spans="1:14" x14ac:dyDescent="0.35">
      <c r="A99" s="1">
        <v>98</v>
      </c>
      <c r="B99" s="1" t="s">
        <v>111</v>
      </c>
      <c r="C99" s="1" t="s">
        <v>13</v>
      </c>
      <c r="D99" s="1">
        <v>14</v>
      </c>
      <c r="E99" s="1" t="s">
        <v>18</v>
      </c>
      <c r="F99" s="1">
        <v>40</v>
      </c>
      <c r="G99" s="1">
        <v>61</v>
      </c>
      <c r="H99" s="1">
        <v>63</v>
      </c>
      <c r="I99" s="1">
        <v>80</v>
      </c>
      <c r="J99" s="2">
        <f t="shared" si="5"/>
        <v>244</v>
      </c>
      <c r="K99" s="6">
        <f t="shared" si="6"/>
        <v>61</v>
      </c>
      <c r="L99" s="8">
        <f t="shared" si="7"/>
        <v>61</v>
      </c>
      <c r="M99" s="9" t="str">
        <f t="shared" si="8"/>
        <v>Pass</v>
      </c>
      <c r="N99" s="12" t="str">
        <f t="shared" si="9"/>
        <v>B</v>
      </c>
    </row>
    <row r="100" spans="1:14" x14ac:dyDescent="0.35">
      <c r="A100" s="1">
        <v>99</v>
      </c>
      <c r="B100" s="1" t="s">
        <v>112</v>
      </c>
      <c r="C100" s="1" t="s">
        <v>13</v>
      </c>
      <c r="D100" s="1">
        <v>14</v>
      </c>
      <c r="E100" s="1" t="s">
        <v>11</v>
      </c>
      <c r="F100" s="1">
        <v>72</v>
      </c>
      <c r="G100" s="1">
        <v>51</v>
      </c>
      <c r="H100" s="1">
        <v>50</v>
      </c>
      <c r="I100" s="1">
        <v>11</v>
      </c>
      <c r="J100" s="2">
        <f t="shared" si="5"/>
        <v>184</v>
      </c>
      <c r="K100" s="6">
        <f t="shared" si="6"/>
        <v>46</v>
      </c>
      <c r="L100" s="8">
        <f t="shared" si="7"/>
        <v>46</v>
      </c>
      <c r="M100" s="9" t="str">
        <f t="shared" si="8"/>
        <v>Fail</v>
      </c>
      <c r="N100" s="12" t="str">
        <f t="shared" si="9"/>
        <v>D</v>
      </c>
    </row>
    <row r="101" spans="1:14" x14ac:dyDescent="0.35">
      <c r="A101" s="1">
        <v>100</v>
      </c>
      <c r="B101" s="1" t="s">
        <v>113</v>
      </c>
      <c r="C101" s="1" t="s">
        <v>10</v>
      </c>
      <c r="D101" s="1">
        <v>15</v>
      </c>
      <c r="E101" s="1" t="s">
        <v>18</v>
      </c>
      <c r="F101" s="1">
        <v>66</v>
      </c>
      <c r="G101" s="1">
        <v>20</v>
      </c>
      <c r="H101" s="1">
        <v>76</v>
      </c>
      <c r="I101" s="1">
        <v>30</v>
      </c>
      <c r="J101" s="2">
        <f t="shared" si="5"/>
        <v>192</v>
      </c>
      <c r="K101" s="6">
        <f t="shared" si="6"/>
        <v>48</v>
      </c>
      <c r="L101" s="8">
        <f t="shared" si="7"/>
        <v>48</v>
      </c>
      <c r="M101" s="9" t="str">
        <f t="shared" si="8"/>
        <v>Fail</v>
      </c>
      <c r="N101" s="12" t="str">
        <f t="shared" si="9"/>
        <v>D</v>
      </c>
    </row>
    <row r="102" spans="1:14" x14ac:dyDescent="0.35">
      <c r="A102" s="1">
        <v>101</v>
      </c>
      <c r="B102" s="1" t="s">
        <v>114</v>
      </c>
      <c r="C102" s="1" t="s">
        <v>13</v>
      </c>
      <c r="D102" s="1">
        <v>14</v>
      </c>
      <c r="E102" s="1" t="s">
        <v>18</v>
      </c>
      <c r="F102" s="1">
        <v>64</v>
      </c>
      <c r="G102" s="1">
        <v>68</v>
      </c>
      <c r="H102" s="1">
        <v>89</v>
      </c>
      <c r="I102" s="1">
        <v>43</v>
      </c>
      <c r="J102" s="2">
        <f t="shared" si="5"/>
        <v>264</v>
      </c>
      <c r="K102" s="6">
        <f t="shared" si="6"/>
        <v>66</v>
      </c>
      <c r="L102" s="8">
        <f t="shared" si="7"/>
        <v>66</v>
      </c>
      <c r="M102" s="9" t="str">
        <f t="shared" si="8"/>
        <v>Pass</v>
      </c>
      <c r="N102" s="12" t="str">
        <f t="shared" si="9"/>
        <v>B</v>
      </c>
    </row>
    <row r="103" spans="1:14" x14ac:dyDescent="0.35">
      <c r="A103" s="1">
        <v>102</v>
      </c>
      <c r="B103" s="1" t="s">
        <v>115</v>
      </c>
      <c r="C103" s="1" t="s">
        <v>10</v>
      </c>
      <c r="D103" s="1">
        <v>13</v>
      </c>
      <c r="E103" s="1" t="s">
        <v>14</v>
      </c>
      <c r="F103" s="1">
        <v>80</v>
      </c>
      <c r="G103" s="1">
        <v>28</v>
      </c>
      <c r="H103" s="1">
        <v>53</v>
      </c>
      <c r="I103" s="1">
        <v>67</v>
      </c>
      <c r="J103" s="2">
        <f t="shared" si="5"/>
        <v>228</v>
      </c>
      <c r="K103" s="6">
        <f t="shared" si="6"/>
        <v>57</v>
      </c>
      <c r="L103" s="8">
        <f t="shared" si="7"/>
        <v>56.999999999999993</v>
      </c>
      <c r="M103" s="9" t="str">
        <f t="shared" si="8"/>
        <v>Fail</v>
      </c>
      <c r="N103" s="12" t="str">
        <f t="shared" si="9"/>
        <v>C</v>
      </c>
    </row>
    <row r="104" spans="1:14" x14ac:dyDescent="0.35">
      <c r="A104" s="1">
        <v>103</v>
      </c>
      <c r="B104" s="1" t="s">
        <v>116</v>
      </c>
      <c r="C104" s="1" t="s">
        <v>10</v>
      </c>
      <c r="D104" s="1">
        <v>13</v>
      </c>
      <c r="E104" s="1" t="s">
        <v>11</v>
      </c>
      <c r="F104" s="1">
        <v>2</v>
      </c>
      <c r="G104" s="1">
        <v>19</v>
      </c>
      <c r="H104" s="1">
        <v>48</v>
      </c>
      <c r="I104" s="1">
        <v>52</v>
      </c>
      <c r="J104" s="2">
        <f t="shared" si="5"/>
        <v>121</v>
      </c>
      <c r="K104" s="6">
        <f t="shared" si="6"/>
        <v>30.25</v>
      </c>
      <c r="L104" s="8">
        <f t="shared" si="7"/>
        <v>30.25</v>
      </c>
      <c r="M104" s="9" t="str">
        <f t="shared" si="8"/>
        <v>Fail</v>
      </c>
      <c r="N104" s="12" t="str">
        <f t="shared" si="9"/>
        <v>F</v>
      </c>
    </row>
    <row r="105" spans="1:14" x14ac:dyDescent="0.35">
      <c r="A105" s="1">
        <v>104</v>
      </c>
      <c r="B105" s="1" t="s">
        <v>117</v>
      </c>
      <c r="C105" s="1" t="s">
        <v>13</v>
      </c>
      <c r="D105" s="1">
        <v>15</v>
      </c>
      <c r="E105" s="1" t="s">
        <v>18</v>
      </c>
      <c r="F105" s="1">
        <v>37</v>
      </c>
      <c r="G105" s="1">
        <v>57</v>
      </c>
      <c r="H105" s="1">
        <v>48</v>
      </c>
      <c r="I105" s="1">
        <v>75</v>
      </c>
      <c r="J105" s="2">
        <f t="shared" si="5"/>
        <v>217</v>
      </c>
      <c r="K105" s="6">
        <f t="shared" si="6"/>
        <v>54.25</v>
      </c>
      <c r="L105" s="8">
        <f t="shared" si="7"/>
        <v>54.25</v>
      </c>
      <c r="M105" s="9" t="str">
        <f t="shared" si="8"/>
        <v>Pass</v>
      </c>
      <c r="N105" s="12" t="str">
        <f t="shared" si="9"/>
        <v>C</v>
      </c>
    </row>
    <row r="106" spans="1:14" x14ac:dyDescent="0.35">
      <c r="A106" s="1">
        <v>105</v>
      </c>
      <c r="B106" s="1" t="s">
        <v>118</v>
      </c>
      <c r="C106" s="1" t="s">
        <v>13</v>
      </c>
      <c r="D106" s="1">
        <v>13</v>
      </c>
      <c r="E106" s="1" t="s">
        <v>14</v>
      </c>
      <c r="F106" s="1">
        <v>68</v>
      </c>
      <c r="G106" s="1">
        <v>97</v>
      </c>
      <c r="H106" s="1">
        <v>31</v>
      </c>
      <c r="I106" s="1">
        <v>48</v>
      </c>
      <c r="J106" s="2">
        <f t="shared" si="5"/>
        <v>244</v>
      </c>
      <c r="K106" s="6">
        <f t="shared" si="6"/>
        <v>61</v>
      </c>
      <c r="L106" s="8">
        <f t="shared" si="7"/>
        <v>61</v>
      </c>
      <c r="M106" s="9" t="str">
        <f t="shared" si="8"/>
        <v>Fail</v>
      </c>
      <c r="N106" s="12" t="str">
        <f t="shared" si="9"/>
        <v>B</v>
      </c>
    </row>
    <row r="107" spans="1:14" x14ac:dyDescent="0.35">
      <c r="A107" s="1">
        <v>106</v>
      </c>
      <c r="B107" s="1" t="s">
        <v>119</v>
      </c>
      <c r="C107" s="1" t="s">
        <v>10</v>
      </c>
      <c r="D107" s="1">
        <v>14</v>
      </c>
      <c r="E107" s="1" t="s">
        <v>11</v>
      </c>
      <c r="F107" s="1">
        <v>62</v>
      </c>
      <c r="G107" s="1">
        <v>4</v>
      </c>
      <c r="H107" s="1">
        <v>75</v>
      </c>
      <c r="I107" s="1">
        <v>32</v>
      </c>
      <c r="J107" s="2">
        <f t="shared" si="5"/>
        <v>173</v>
      </c>
      <c r="K107" s="6">
        <f t="shared" si="6"/>
        <v>43.25</v>
      </c>
      <c r="L107" s="8">
        <f t="shared" si="7"/>
        <v>43.25</v>
      </c>
      <c r="M107" s="9" t="str">
        <f t="shared" si="8"/>
        <v>Fail</v>
      </c>
      <c r="N107" s="12" t="str">
        <f t="shared" si="9"/>
        <v>D</v>
      </c>
    </row>
    <row r="108" spans="1:14" x14ac:dyDescent="0.35">
      <c r="A108" s="1">
        <v>107</v>
      </c>
      <c r="B108" s="1" t="s">
        <v>120</v>
      </c>
      <c r="C108" s="1" t="s">
        <v>10</v>
      </c>
      <c r="D108" s="1">
        <v>14</v>
      </c>
      <c r="E108" s="1" t="s">
        <v>11</v>
      </c>
      <c r="F108" s="1">
        <v>57</v>
      </c>
      <c r="G108" s="1">
        <v>68</v>
      </c>
      <c r="H108" s="1">
        <v>13</v>
      </c>
      <c r="I108" s="1">
        <v>74</v>
      </c>
      <c r="J108" s="2">
        <f t="shared" si="5"/>
        <v>212</v>
      </c>
      <c r="K108" s="6">
        <f t="shared" si="6"/>
        <v>53</v>
      </c>
      <c r="L108" s="8">
        <f t="shared" si="7"/>
        <v>53</v>
      </c>
      <c r="M108" s="9" t="str">
        <f t="shared" si="8"/>
        <v>Fail</v>
      </c>
      <c r="N108" s="12" t="str">
        <f t="shared" si="9"/>
        <v>C</v>
      </c>
    </row>
    <row r="109" spans="1:14" x14ac:dyDescent="0.35">
      <c r="A109" s="1">
        <v>108</v>
      </c>
      <c r="B109" s="1" t="s">
        <v>121</v>
      </c>
      <c r="C109" s="1" t="s">
        <v>10</v>
      </c>
      <c r="D109" s="1">
        <v>14</v>
      </c>
      <c r="E109" s="1" t="s">
        <v>14</v>
      </c>
      <c r="F109" s="1">
        <v>56</v>
      </c>
      <c r="G109" s="1">
        <v>75</v>
      </c>
      <c r="H109" s="1">
        <v>5</v>
      </c>
      <c r="I109" s="1">
        <v>40</v>
      </c>
      <c r="J109" s="2">
        <f t="shared" si="5"/>
        <v>176</v>
      </c>
      <c r="K109" s="6">
        <f t="shared" si="6"/>
        <v>44</v>
      </c>
      <c r="L109" s="8">
        <f t="shared" si="7"/>
        <v>44</v>
      </c>
      <c r="M109" s="9" t="str">
        <f t="shared" si="8"/>
        <v>Fail</v>
      </c>
      <c r="N109" s="12" t="str">
        <f t="shared" si="9"/>
        <v>D</v>
      </c>
    </row>
    <row r="110" spans="1:14" x14ac:dyDescent="0.35">
      <c r="A110" s="1">
        <v>109</v>
      </c>
      <c r="B110" s="1" t="s">
        <v>122</v>
      </c>
      <c r="C110" s="1" t="s">
        <v>13</v>
      </c>
      <c r="D110" s="1">
        <v>14</v>
      </c>
      <c r="E110" s="1" t="s">
        <v>11</v>
      </c>
      <c r="F110" s="1">
        <v>11</v>
      </c>
      <c r="G110" s="1">
        <v>30</v>
      </c>
      <c r="H110" s="1">
        <v>83</v>
      </c>
      <c r="I110" s="1">
        <v>17</v>
      </c>
      <c r="J110" s="2">
        <f t="shared" si="5"/>
        <v>141</v>
      </c>
      <c r="K110" s="6">
        <f t="shared" si="6"/>
        <v>35.25</v>
      </c>
      <c r="L110" s="8">
        <f t="shared" si="7"/>
        <v>35.25</v>
      </c>
      <c r="M110" s="9" t="str">
        <f t="shared" si="8"/>
        <v>Fail</v>
      </c>
      <c r="N110" s="12" t="str">
        <f t="shared" si="9"/>
        <v>D</v>
      </c>
    </row>
    <row r="111" spans="1:14" x14ac:dyDescent="0.35">
      <c r="A111" s="1">
        <v>110</v>
      </c>
      <c r="B111" s="1" t="s">
        <v>123</v>
      </c>
      <c r="C111" s="1" t="s">
        <v>10</v>
      </c>
      <c r="D111" s="1">
        <v>14</v>
      </c>
      <c r="E111" s="1" t="s">
        <v>14</v>
      </c>
      <c r="F111" s="1">
        <v>82</v>
      </c>
      <c r="G111" s="1">
        <v>54</v>
      </c>
      <c r="H111" s="1">
        <v>31</v>
      </c>
      <c r="I111" s="1">
        <v>18</v>
      </c>
      <c r="J111" s="2">
        <f t="shared" si="5"/>
        <v>185</v>
      </c>
      <c r="K111" s="6">
        <f t="shared" si="6"/>
        <v>46.25</v>
      </c>
      <c r="L111" s="8">
        <f t="shared" si="7"/>
        <v>46.25</v>
      </c>
      <c r="M111" s="9" t="str">
        <f t="shared" si="8"/>
        <v>Fail</v>
      </c>
      <c r="N111" s="12" t="str">
        <f t="shared" si="9"/>
        <v>D</v>
      </c>
    </row>
    <row r="112" spans="1:14" x14ac:dyDescent="0.35">
      <c r="A112" s="1">
        <v>111</v>
      </c>
      <c r="B112" s="1" t="s">
        <v>124</v>
      </c>
      <c r="C112" s="1" t="s">
        <v>13</v>
      </c>
      <c r="D112" s="1">
        <v>13</v>
      </c>
      <c r="E112" s="1" t="s">
        <v>18</v>
      </c>
      <c r="F112" s="1">
        <v>2</v>
      </c>
      <c r="G112" s="1">
        <v>39</v>
      </c>
      <c r="H112" s="1">
        <v>13</v>
      </c>
      <c r="I112" s="1">
        <v>69</v>
      </c>
      <c r="J112" s="2">
        <f t="shared" si="5"/>
        <v>123</v>
      </c>
      <c r="K112" s="6">
        <f t="shared" si="6"/>
        <v>30.75</v>
      </c>
      <c r="L112" s="8">
        <f t="shared" si="7"/>
        <v>30.75</v>
      </c>
      <c r="M112" s="9" t="str">
        <f t="shared" si="8"/>
        <v>Fail</v>
      </c>
      <c r="N112" s="12" t="str">
        <f t="shared" si="9"/>
        <v>F</v>
      </c>
    </row>
    <row r="113" spans="1:14" x14ac:dyDescent="0.35">
      <c r="A113" s="1">
        <v>112</v>
      </c>
      <c r="B113" s="1" t="s">
        <v>125</v>
      </c>
      <c r="C113" s="1" t="s">
        <v>10</v>
      </c>
      <c r="D113" s="1">
        <v>15</v>
      </c>
      <c r="E113" s="1" t="s">
        <v>18</v>
      </c>
      <c r="F113" s="1">
        <v>23</v>
      </c>
      <c r="G113" s="1">
        <v>65</v>
      </c>
      <c r="H113" s="1">
        <v>72</v>
      </c>
      <c r="I113" s="1">
        <v>51</v>
      </c>
      <c r="J113" s="2">
        <f t="shared" si="5"/>
        <v>211</v>
      </c>
      <c r="K113" s="6">
        <f t="shared" si="6"/>
        <v>52.75</v>
      </c>
      <c r="L113" s="8">
        <f t="shared" si="7"/>
        <v>52.75</v>
      </c>
      <c r="M113" s="9" t="str">
        <f t="shared" si="8"/>
        <v>Fail</v>
      </c>
      <c r="N113" s="12" t="str">
        <f t="shared" si="9"/>
        <v>C</v>
      </c>
    </row>
    <row r="114" spans="1:14" x14ac:dyDescent="0.35">
      <c r="A114" s="1">
        <v>113</v>
      </c>
      <c r="B114" s="1" t="s">
        <v>126</v>
      </c>
      <c r="C114" s="1" t="s">
        <v>13</v>
      </c>
      <c r="D114" s="1">
        <v>13</v>
      </c>
      <c r="E114" s="1" t="s">
        <v>11</v>
      </c>
      <c r="F114" s="1">
        <v>22</v>
      </c>
      <c r="G114" s="1">
        <v>78</v>
      </c>
      <c r="H114" s="1">
        <v>77</v>
      </c>
      <c r="I114" s="1">
        <v>26</v>
      </c>
      <c r="J114" s="2">
        <f t="shared" si="5"/>
        <v>203</v>
      </c>
      <c r="K114" s="6">
        <f t="shared" si="6"/>
        <v>50.75</v>
      </c>
      <c r="L114" s="8">
        <f t="shared" si="7"/>
        <v>50.749999999999993</v>
      </c>
      <c r="M114" s="9" t="str">
        <f t="shared" si="8"/>
        <v>Fail</v>
      </c>
      <c r="N114" s="12" t="str">
        <f t="shared" si="9"/>
        <v>C</v>
      </c>
    </row>
    <row r="115" spans="1:14" x14ac:dyDescent="0.35">
      <c r="A115" s="1">
        <v>114</v>
      </c>
      <c r="B115" s="1" t="s">
        <v>127</v>
      </c>
      <c r="C115" s="1" t="s">
        <v>13</v>
      </c>
      <c r="D115" s="1">
        <v>14</v>
      </c>
      <c r="E115" s="1" t="s">
        <v>18</v>
      </c>
      <c r="F115" s="1">
        <v>41</v>
      </c>
      <c r="G115" s="1">
        <v>52</v>
      </c>
      <c r="H115" s="1">
        <v>29</v>
      </c>
      <c r="I115" s="1">
        <v>21</v>
      </c>
      <c r="J115" s="2">
        <f t="shared" si="5"/>
        <v>143</v>
      </c>
      <c r="K115" s="6">
        <f t="shared" si="6"/>
        <v>35.75</v>
      </c>
      <c r="L115" s="8">
        <f t="shared" si="7"/>
        <v>35.75</v>
      </c>
      <c r="M115" s="9" t="str">
        <f t="shared" si="8"/>
        <v>Fail</v>
      </c>
      <c r="N115" s="12" t="str">
        <f t="shared" si="9"/>
        <v>D</v>
      </c>
    </row>
    <row r="116" spans="1:14" x14ac:dyDescent="0.35">
      <c r="A116" s="1">
        <v>115</v>
      </c>
      <c r="B116" s="1" t="s">
        <v>128</v>
      </c>
      <c r="C116" s="1" t="s">
        <v>10</v>
      </c>
      <c r="D116" s="1">
        <v>13</v>
      </c>
      <c r="E116" s="1" t="s">
        <v>11</v>
      </c>
      <c r="F116" s="1">
        <v>23</v>
      </c>
      <c r="G116" s="1">
        <v>13</v>
      </c>
      <c r="H116" s="1">
        <v>28</v>
      </c>
      <c r="I116" s="1">
        <v>69</v>
      </c>
      <c r="J116" s="2">
        <f t="shared" si="5"/>
        <v>133</v>
      </c>
      <c r="K116" s="6">
        <f t="shared" si="6"/>
        <v>33.25</v>
      </c>
      <c r="L116" s="8">
        <f t="shared" si="7"/>
        <v>33.25</v>
      </c>
      <c r="M116" s="9" t="str">
        <f t="shared" si="8"/>
        <v>Fail</v>
      </c>
      <c r="N116" s="12" t="str">
        <f t="shared" si="9"/>
        <v>F</v>
      </c>
    </row>
    <row r="117" spans="1:14" x14ac:dyDescent="0.35">
      <c r="A117" s="1">
        <v>116</v>
      </c>
      <c r="B117" s="1" t="s">
        <v>129</v>
      </c>
      <c r="C117" s="1" t="s">
        <v>13</v>
      </c>
      <c r="D117" s="1">
        <v>14</v>
      </c>
      <c r="E117" s="1" t="s">
        <v>18</v>
      </c>
      <c r="F117" s="1">
        <v>80</v>
      </c>
      <c r="G117" s="1">
        <v>92</v>
      </c>
      <c r="H117" s="1">
        <v>53</v>
      </c>
      <c r="I117" s="1">
        <v>30</v>
      </c>
      <c r="J117" s="2">
        <f t="shared" si="5"/>
        <v>255</v>
      </c>
      <c r="K117" s="6">
        <f t="shared" si="6"/>
        <v>63.75</v>
      </c>
      <c r="L117" s="8">
        <f t="shared" si="7"/>
        <v>63.749999999999993</v>
      </c>
      <c r="M117" s="9" t="str">
        <f t="shared" si="8"/>
        <v>Fail</v>
      </c>
      <c r="N117" s="12" t="str">
        <f t="shared" si="9"/>
        <v>B</v>
      </c>
    </row>
    <row r="118" spans="1:14" x14ac:dyDescent="0.35">
      <c r="A118" s="1">
        <v>117</v>
      </c>
      <c r="B118" s="1" t="s">
        <v>130</v>
      </c>
      <c r="C118" s="1" t="s">
        <v>13</v>
      </c>
      <c r="D118" s="1">
        <v>14</v>
      </c>
      <c r="E118" s="1" t="s">
        <v>18</v>
      </c>
      <c r="F118" s="1">
        <v>63</v>
      </c>
      <c r="G118" s="1">
        <v>74</v>
      </c>
      <c r="H118" s="1">
        <v>46</v>
      </c>
      <c r="I118" s="1">
        <v>76</v>
      </c>
      <c r="J118" s="2">
        <f t="shared" si="5"/>
        <v>259</v>
      </c>
      <c r="K118" s="6">
        <f t="shared" si="6"/>
        <v>64.75</v>
      </c>
      <c r="L118" s="8">
        <f t="shared" si="7"/>
        <v>64.75</v>
      </c>
      <c r="M118" s="9" t="str">
        <f t="shared" si="8"/>
        <v>Pass</v>
      </c>
      <c r="N118" s="12" t="str">
        <f t="shared" si="9"/>
        <v>B</v>
      </c>
    </row>
    <row r="119" spans="1:14" x14ac:dyDescent="0.35">
      <c r="A119" s="1">
        <v>118</v>
      </c>
      <c r="B119" s="1" t="s">
        <v>131</v>
      </c>
      <c r="C119" s="1" t="s">
        <v>10</v>
      </c>
      <c r="D119" s="1">
        <v>14</v>
      </c>
      <c r="E119" s="1" t="s">
        <v>14</v>
      </c>
      <c r="F119" s="1">
        <v>90</v>
      </c>
      <c r="G119" s="1">
        <v>22</v>
      </c>
      <c r="H119" s="1">
        <v>2</v>
      </c>
      <c r="I119" s="1">
        <v>12</v>
      </c>
      <c r="J119" s="2">
        <f t="shared" si="5"/>
        <v>126</v>
      </c>
      <c r="K119" s="6">
        <f t="shared" si="6"/>
        <v>31.5</v>
      </c>
      <c r="L119" s="8">
        <f t="shared" si="7"/>
        <v>31.5</v>
      </c>
      <c r="M119" s="9" t="str">
        <f t="shared" si="8"/>
        <v>Fail</v>
      </c>
      <c r="N119" s="12" t="str">
        <f t="shared" si="9"/>
        <v>F</v>
      </c>
    </row>
    <row r="120" spans="1:14" x14ac:dyDescent="0.35">
      <c r="A120" s="1">
        <v>119</v>
      </c>
      <c r="B120" s="1" t="s">
        <v>132</v>
      </c>
      <c r="C120" s="1" t="s">
        <v>10</v>
      </c>
      <c r="D120" s="1">
        <v>13</v>
      </c>
      <c r="E120" s="1" t="s">
        <v>11</v>
      </c>
      <c r="F120" s="1">
        <v>2</v>
      </c>
      <c r="G120" s="1">
        <v>60</v>
      </c>
      <c r="H120" s="1">
        <v>67</v>
      </c>
      <c r="I120" s="1">
        <v>29</v>
      </c>
      <c r="J120" s="2">
        <f t="shared" si="5"/>
        <v>158</v>
      </c>
      <c r="K120" s="6">
        <f t="shared" si="6"/>
        <v>39.5</v>
      </c>
      <c r="L120" s="8">
        <f t="shared" si="7"/>
        <v>39.5</v>
      </c>
      <c r="M120" s="9" t="str">
        <f t="shared" si="8"/>
        <v>Fail</v>
      </c>
      <c r="N120" s="12" t="str">
        <f t="shared" si="9"/>
        <v>D</v>
      </c>
    </row>
    <row r="121" spans="1:14" x14ac:dyDescent="0.35">
      <c r="A121" s="1">
        <v>120</v>
      </c>
      <c r="B121" s="1" t="s">
        <v>133</v>
      </c>
      <c r="C121" s="1" t="s">
        <v>13</v>
      </c>
      <c r="D121" s="1">
        <v>14</v>
      </c>
      <c r="E121" s="1" t="s">
        <v>18</v>
      </c>
      <c r="F121" s="1">
        <v>80</v>
      </c>
      <c r="G121" s="1">
        <v>34</v>
      </c>
      <c r="H121" s="1">
        <v>85</v>
      </c>
      <c r="I121" s="1">
        <v>71</v>
      </c>
      <c r="J121" s="2">
        <f t="shared" si="5"/>
        <v>270</v>
      </c>
      <c r="K121" s="6">
        <f t="shared" si="6"/>
        <v>67.5</v>
      </c>
      <c r="L121" s="8">
        <f t="shared" si="7"/>
        <v>67.5</v>
      </c>
      <c r="M121" s="9" t="str">
        <f t="shared" si="8"/>
        <v>Fail</v>
      </c>
      <c r="N121" s="12" t="str">
        <f t="shared" si="9"/>
        <v>B</v>
      </c>
    </row>
    <row r="122" spans="1:14" x14ac:dyDescent="0.35">
      <c r="A122" s="1">
        <v>121</v>
      </c>
      <c r="B122" s="1" t="s">
        <v>134</v>
      </c>
      <c r="C122" s="1" t="s">
        <v>13</v>
      </c>
      <c r="D122" s="1">
        <v>13</v>
      </c>
      <c r="E122" s="1" t="s">
        <v>18</v>
      </c>
      <c r="F122" s="1">
        <v>79</v>
      </c>
      <c r="G122" s="1">
        <v>88</v>
      </c>
      <c r="H122" s="1">
        <v>96</v>
      </c>
      <c r="I122" s="1">
        <v>93</v>
      </c>
      <c r="J122" s="2">
        <f t="shared" si="5"/>
        <v>356</v>
      </c>
      <c r="K122" s="6">
        <f t="shared" si="6"/>
        <v>89</v>
      </c>
      <c r="L122" s="8">
        <f t="shared" si="7"/>
        <v>89</v>
      </c>
      <c r="M122" s="9" t="str">
        <f t="shared" si="8"/>
        <v>Pass</v>
      </c>
      <c r="N122" s="12" t="str">
        <f t="shared" si="9"/>
        <v>A</v>
      </c>
    </row>
    <row r="123" spans="1:14" x14ac:dyDescent="0.35">
      <c r="A123" s="1">
        <v>122</v>
      </c>
      <c r="B123" s="1" t="s">
        <v>135</v>
      </c>
      <c r="C123" s="1" t="s">
        <v>13</v>
      </c>
      <c r="D123" s="1">
        <v>14</v>
      </c>
      <c r="E123" s="1" t="s">
        <v>11</v>
      </c>
      <c r="F123" s="1">
        <v>4</v>
      </c>
      <c r="G123" s="1">
        <v>37</v>
      </c>
      <c r="H123" s="1">
        <v>50</v>
      </c>
      <c r="I123" s="1">
        <v>47</v>
      </c>
      <c r="J123" s="2">
        <f t="shared" si="5"/>
        <v>138</v>
      </c>
      <c r="K123" s="6">
        <f t="shared" si="6"/>
        <v>34.5</v>
      </c>
      <c r="L123" s="8">
        <f t="shared" si="7"/>
        <v>34.5</v>
      </c>
      <c r="M123" s="9" t="str">
        <f t="shared" si="8"/>
        <v>Fail</v>
      </c>
      <c r="N123" s="12" t="str">
        <f t="shared" si="9"/>
        <v>F</v>
      </c>
    </row>
    <row r="124" spans="1:14" x14ac:dyDescent="0.35">
      <c r="A124" s="1">
        <v>123</v>
      </c>
      <c r="B124" s="1" t="s">
        <v>136</v>
      </c>
      <c r="C124" s="1" t="s">
        <v>13</v>
      </c>
      <c r="D124" s="1">
        <v>13</v>
      </c>
      <c r="E124" s="1" t="s">
        <v>18</v>
      </c>
      <c r="F124" s="1">
        <v>18</v>
      </c>
      <c r="G124" s="1">
        <v>100</v>
      </c>
      <c r="H124" s="1">
        <v>39</v>
      </c>
      <c r="I124" s="1">
        <v>8</v>
      </c>
      <c r="J124" s="2">
        <f t="shared" si="5"/>
        <v>165</v>
      </c>
      <c r="K124" s="6">
        <f t="shared" si="6"/>
        <v>41.25</v>
      </c>
      <c r="L124" s="8">
        <f t="shared" si="7"/>
        <v>41.25</v>
      </c>
      <c r="M124" s="9" t="str">
        <f t="shared" si="8"/>
        <v>Fail</v>
      </c>
      <c r="N124" s="12" t="str">
        <f t="shared" si="9"/>
        <v>D</v>
      </c>
    </row>
    <row r="125" spans="1:14" x14ac:dyDescent="0.35">
      <c r="A125" s="1">
        <v>124</v>
      </c>
      <c r="B125" s="1" t="s">
        <v>137</v>
      </c>
      <c r="C125" s="1" t="s">
        <v>10</v>
      </c>
      <c r="D125" s="1">
        <v>15</v>
      </c>
      <c r="E125" s="1" t="s">
        <v>14</v>
      </c>
      <c r="F125" s="1">
        <v>70</v>
      </c>
      <c r="G125" s="1">
        <v>75</v>
      </c>
      <c r="H125" s="1">
        <v>21</v>
      </c>
      <c r="I125" s="1">
        <v>99</v>
      </c>
      <c r="J125" s="2">
        <f t="shared" si="5"/>
        <v>265</v>
      </c>
      <c r="K125" s="6">
        <f t="shared" si="6"/>
        <v>66.25</v>
      </c>
      <c r="L125" s="8">
        <f t="shared" si="7"/>
        <v>66.25</v>
      </c>
      <c r="M125" s="9" t="str">
        <f t="shared" si="8"/>
        <v>Fail</v>
      </c>
      <c r="N125" s="12" t="str">
        <f t="shared" si="9"/>
        <v>B</v>
      </c>
    </row>
    <row r="126" spans="1:14" x14ac:dyDescent="0.35">
      <c r="A126" s="1">
        <v>125</v>
      </c>
      <c r="B126" s="1" t="s">
        <v>138</v>
      </c>
      <c r="C126" s="1" t="s">
        <v>13</v>
      </c>
      <c r="D126" s="1">
        <v>14</v>
      </c>
      <c r="E126" s="1" t="s">
        <v>14</v>
      </c>
      <c r="F126" s="1">
        <v>68</v>
      </c>
      <c r="G126" s="1">
        <v>20</v>
      </c>
      <c r="H126" s="1">
        <v>21</v>
      </c>
      <c r="I126" s="1">
        <v>81</v>
      </c>
      <c r="J126" s="2">
        <f t="shared" si="5"/>
        <v>190</v>
      </c>
      <c r="K126" s="6">
        <f t="shared" si="6"/>
        <v>47.5</v>
      </c>
      <c r="L126" s="8">
        <f t="shared" si="7"/>
        <v>47.5</v>
      </c>
      <c r="M126" s="9" t="str">
        <f t="shared" si="8"/>
        <v>Fail</v>
      </c>
      <c r="N126" s="12" t="str">
        <f t="shared" si="9"/>
        <v>D</v>
      </c>
    </row>
    <row r="127" spans="1:14" x14ac:dyDescent="0.35">
      <c r="A127" s="1">
        <v>126</v>
      </c>
      <c r="B127" s="1" t="s">
        <v>139</v>
      </c>
      <c r="C127" s="1" t="s">
        <v>13</v>
      </c>
      <c r="D127" s="1">
        <v>15</v>
      </c>
      <c r="E127" s="1" t="s">
        <v>18</v>
      </c>
      <c r="F127" s="1">
        <v>29</v>
      </c>
      <c r="G127" s="1">
        <v>6</v>
      </c>
      <c r="H127" s="1">
        <v>43</v>
      </c>
      <c r="I127" s="1">
        <v>85</v>
      </c>
      <c r="J127" s="2">
        <f t="shared" si="5"/>
        <v>163</v>
      </c>
      <c r="K127" s="6">
        <f t="shared" si="6"/>
        <v>40.75</v>
      </c>
      <c r="L127" s="8">
        <f t="shared" si="7"/>
        <v>40.75</v>
      </c>
      <c r="M127" s="9" t="str">
        <f t="shared" si="8"/>
        <v>Fail</v>
      </c>
      <c r="N127" s="12" t="str">
        <f t="shared" si="9"/>
        <v>D</v>
      </c>
    </row>
    <row r="128" spans="1:14" x14ac:dyDescent="0.35">
      <c r="A128" s="1">
        <v>127</v>
      </c>
      <c r="B128" s="1" t="s">
        <v>140</v>
      </c>
      <c r="C128" s="1" t="s">
        <v>13</v>
      </c>
      <c r="D128" s="1">
        <v>14</v>
      </c>
      <c r="E128" s="1" t="s">
        <v>14</v>
      </c>
      <c r="F128" s="1">
        <v>76</v>
      </c>
      <c r="G128" s="1">
        <v>36</v>
      </c>
      <c r="H128" s="1">
        <v>32</v>
      </c>
      <c r="I128" s="1">
        <v>47</v>
      </c>
      <c r="J128" s="2">
        <f t="shared" si="5"/>
        <v>191</v>
      </c>
      <c r="K128" s="6">
        <f t="shared" si="6"/>
        <v>47.75</v>
      </c>
      <c r="L128" s="8">
        <f t="shared" si="7"/>
        <v>47.75</v>
      </c>
      <c r="M128" s="9" t="str">
        <f t="shared" si="8"/>
        <v>Fail</v>
      </c>
      <c r="N128" s="12" t="str">
        <f t="shared" si="9"/>
        <v>D</v>
      </c>
    </row>
    <row r="129" spans="1:14" x14ac:dyDescent="0.35">
      <c r="A129" s="1">
        <v>128</v>
      </c>
      <c r="B129" s="1" t="s">
        <v>141</v>
      </c>
      <c r="C129" s="1" t="s">
        <v>10</v>
      </c>
      <c r="D129" s="1">
        <v>14</v>
      </c>
      <c r="E129" s="1" t="s">
        <v>11</v>
      </c>
      <c r="F129" s="1">
        <v>3</v>
      </c>
      <c r="G129" s="1">
        <v>31</v>
      </c>
      <c r="H129" s="1">
        <v>34</v>
      </c>
      <c r="I129" s="1">
        <v>45</v>
      </c>
      <c r="J129" s="2">
        <f t="shared" si="5"/>
        <v>113</v>
      </c>
      <c r="K129" s="6">
        <f t="shared" si="6"/>
        <v>28.25</v>
      </c>
      <c r="L129" s="8">
        <f t="shared" si="7"/>
        <v>28.249999999999996</v>
      </c>
      <c r="M129" s="9" t="str">
        <f t="shared" si="8"/>
        <v>Fail</v>
      </c>
      <c r="N129" s="12" t="str">
        <f t="shared" si="9"/>
        <v>F</v>
      </c>
    </row>
    <row r="130" spans="1:14" x14ac:dyDescent="0.35">
      <c r="A130" s="1">
        <v>129</v>
      </c>
      <c r="B130" s="1" t="s">
        <v>142</v>
      </c>
      <c r="C130" s="1" t="s">
        <v>10</v>
      </c>
      <c r="D130" s="1">
        <v>15</v>
      </c>
      <c r="E130" s="1" t="s">
        <v>14</v>
      </c>
      <c r="F130" s="1">
        <v>28</v>
      </c>
      <c r="G130" s="1">
        <v>94</v>
      </c>
      <c r="H130" s="1">
        <v>61</v>
      </c>
      <c r="I130" s="1">
        <v>72</v>
      </c>
      <c r="J130" s="2">
        <f t="shared" si="5"/>
        <v>255</v>
      </c>
      <c r="K130" s="6">
        <f t="shared" si="6"/>
        <v>63.75</v>
      </c>
      <c r="L130" s="8">
        <f t="shared" si="7"/>
        <v>63.749999999999993</v>
      </c>
      <c r="M130" s="9" t="str">
        <f t="shared" si="8"/>
        <v>Fail</v>
      </c>
      <c r="N130" s="12" t="str">
        <f t="shared" si="9"/>
        <v>B</v>
      </c>
    </row>
    <row r="131" spans="1:14" x14ac:dyDescent="0.35">
      <c r="A131" s="1">
        <v>130</v>
      </c>
      <c r="B131" s="1" t="s">
        <v>143</v>
      </c>
      <c r="C131" s="1" t="s">
        <v>10</v>
      </c>
      <c r="D131" s="1">
        <v>13</v>
      </c>
      <c r="E131" s="1" t="s">
        <v>18</v>
      </c>
      <c r="F131" s="1">
        <v>23</v>
      </c>
      <c r="G131" s="1">
        <v>88</v>
      </c>
      <c r="H131" s="1">
        <v>90</v>
      </c>
      <c r="I131" s="1">
        <v>68</v>
      </c>
      <c r="J131" s="2">
        <f t="shared" ref="J131:J194" si="10">SUM(E131:I131)</f>
        <v>269</v>
      </c>
      <c r="K131" s="6">
        <f t="shared" ref="K131:K194" si="11">AVERAGE(F131:I131)</f>
        <v>67.25</v>
      </c>
      <c r="L131" s="8">
        <f t="shared" ref="L131:L194" si="12">(J131/400)*100</f>
        <v>67.25</v>
      </c>
      <c r="M131" s="9" t="str">
        <f t="shared" ref="M131:M194" si="13">IF(AND(F131&gt;=35,G131&gt;=35,H131&gt;=35,I131&gt;=35),"Pass","Fail")</f>
        <v>Fail</v>
      </c>
      <c r="N131" s="12" t="str">
        <f t="shared" ref="N131:N194" si="14">IF(L131&gt;=75,"A",IF(L131&gt;=60,"B",IF(L131&gt;=50,"C",IF(L131&gt;=35,"D","F"))))</f>
        <v>B</v>
      </c>
    </row>
    <row r="132" spans="1:14" x14ac:dyDescent="0.35">
      <c r="A132" s="1">
        <v>131</v>
      </c>
      <c r="B132" s="1" t="s">
        <v>144</v>
      </c>
      <c r="C132" s="1" t="s">
        <v>10</v>
      </c>
      <c r="D132" s="1">
        <v>15</v>
      </c>
      <c r="E132" s="1" t="s">
        <v>14</v>
      </c>
      <c r="F132" s="1">
        <v>85</v>
      </c>
      <c r="G132" s="1">
        <v>30</v>
      </c>
      <c r="H132" s="1">
        <v>50</v>
      </c>
      <c r="I132" s="1">
        <v>2</v>
      </c>
      <c r="J132" s="2">
        <f t="shared" si="10"/>
        <v>167</v>
      </c>
      <c r="K132" s="6">
        <f t="shared" si="11"/>
        <v>41.75</v>
      </c>
      <c r="L132" s="8">
        <f t="shared" si="12"/>
        <v>41.75</v>
      </c>
      <c r="M132" s="9" t="str">
        <f t="shared" si="13"/>
        <v>Fail</v>
      </c>
      <c r="N132" s="12" t="str">
        <f t="shared" si="14"/>
        <v>D</v>
      </c>
    </row>
    <row r="133" spans="1:14" x14ac:dyDescent="0.35">
      <c r="A133" s="1">
        <v>132</v>
      </c>
      <c r="B133" s="1" t="s">
        <v>145</v>
      </c>
      <c r="C133" s="1" t="s">
        <v>13</v>
      </c>
      <c r="D133" s="1">
        <v>13</v>
      </c>
      <c r="E133" s="1" t="s">
        <v>11</v>
      </c>
      <c r="F133" s="1">
        <v>13</v>
      </c>
      <c r="G133" s="1">
        <v>73</v>
      </c>
      <c r="H133" s="1">
        <v>76</v>
      </c>
      <c r="I133" s="1">
        <v>95</v>
      </c>
      <c r="J133" s="2">
        <f t="shared" si="10"/>
        <v>257</v>
      </c>
      <c r="K133" s="6">
        <f t="shared" si="11"/>
        <v>64.25</v>
      </c>
      <c r="L133" s="8">
        <f t="shared" si="12"/>
        <v>64.25</v>
      </c>
      <c r="M133" s="9" t="str">
        <f t="shared" si="13"/>
        <v>Fail</v>
      </c>
      <c r="N133" s="12" t="str">
        <f t="shared" si="14"/>
        <v>B</v>
      </c>
    </row>
    <row r="134" spans="1:14" x14ac:dyDescent="0.35">
      <c r="A134" s="1">
        <v>133</v>
      </c>
      <c r="B134" s="1" t="s">
        <v>146</v>
      </c>
      <c r="C134" s="1" t="s">
        <v>13</v>
      </c>
      <c r="D134" s="1">
        <v>15</v>
      </c>
      <c r="E134" s="1" t="s">
        <v>18</v>
      </c>
      <c r="F134" s="1">
        <v>19</v>
      </c>
      <c r="G134" s="1">
        <v>14</v>
      </c>
      <c r="H134" s="1">
        <v>43</v>
      </c>
      <c r="I134" s="1">
        <v>68</v>
      </c>
      <c r="J134" s="2">
        <f t="shared" si="10"/>
        <v>144</v>
      </c>
      <c r="K134" s="6">
        <f t="shared" si="11"/>
        <v>36</v>
      </c>
      <c r="L134" s="8">
        <f t="shared" si="12"/>
        <v>36</v>
      </c>
      <c r="M134" s="9" t="str">
        <f t="shared" si="13"/>
        <v>Fail</v>
      </c>
      <c r="N134" s="12" t="str">
        <f t="shared" si="14"/>
        <v>D</v>
      </c>
    </row>
    <row r="135" spans="1:14" x14ac:dyDescent="0.35">
      <c r="A135" s="1">
        <v>134</v>
      </c>
      <c r="B135" s="1" t="s">
        <v>147</v>
      </c>
      <c r="C135" s="1" t="s">
        <v>10</v>
      </c>
      <c r="D135" s="1">
        <v>15</v>
      </c>
      <c r="E135" s="1" t="s">
        <v>11</v>
      </c>
      <c r="F135" s="1">
        <v>77</v>
      </c>
      <c r="G135" s="1">
        <v>25</v>
      </c>
      <c r="H135" s="1">
        <v>85</v>
      </c>
      <c r="I135" s="1">
        <v>26</v>
      </c>
      <c r="J135" s="2">
        <f t="shared" si="10"/>
        <v>213</v>
      </c>
      <c r="K135" s="6">
        <f t="shared" si="11"/>
        <v>53.25</v>
      </c>
      <c r="L135" s="8">
        <f t="shared" si="12"/>
        <v>53.25</v>
      </c>
      <c r="M135" s="9" t="str">
        <f t="shared" si="13"/>
        <v>Fail</v>
      </c>
      <c r="N135" s="12" t="str">
        <f t="shared" si="14"/>
        <v>C</v>
      </c>
    </row>
    <row r="136" spans="1:14" x14ac:dyDescent="0.35">
      <c r="A136" s="1">
        <v>135</v>
      </c>
      <c r="B136" s="1" t="s">
        <v>148</v>
      </c>
      <c r="C136" s="1" t="s">
        <v>10</v>
      </c>
      <c r="D136" s="1">
        <v>13</v>
      </c>
      <c r="E136" s="1" t="s">
        <v>14</v>
      </c>
      <c r="F136" s="1">
        <v>96</v>
      </c>
      <c r="G136" s="1">
        <v>100</v>
      </c>
      <c r="H136" s="1">
        <v>42</v>
      </c>
      <c r="I136" s="1">
        <v>62</v>
      </c>
      <c r="J136" s="2">
        <f t="shared" si="10"/>
        <v>300</v>
      </c>
      <c r="K136" s="6">
        <f t="shared" si="11"/>
        <v>75</v>
      </c>
      <c r="L136" s="8">
        <f t="shared" si="12"/>
        <v>75</v>
      </c>
      <c r="M136" s="9" t="str">
        <f t="shared" si="13"/>
        <v>Pass</v>
      </c>
      <c r="N136" s="12" t="str">
        <f t="shared" si="14"/>
        <v>A</v>
      </c>
    </row>
    <row r="137" spans="1:14" x14ac:dyDescent="0.35">
      <c r="A137" s="1">
        <v>136</v>
      </c>
      <c r="B137" s="1" t="s">
        <v>149</v>
      </c>
      <c r="C137" s="1" t="s">
        <v>10</v>
      </c>
      <c r="D137" s="1">
        <v>13</v>
      </c>
      <c r="E137" s="1" t="s">
        <v>11</v>
      </c>
      <c r="F137" s="1">
        <v>5</v>
      </c>
      <c r="G137" s="1">
        <v>10</v>
      </c>
      <c r="H137" s="1">
        <v>75</v>
      </c>
      <c r="I137" s="1">
        <v>38</v>
      </c>
      <c r="J137" s="2">
        <f t="shared" si="10"/>
        <v>128</v>
      </c>
      <c r="K137" s="6">
        <f t="shared" si="11"/>
        <v>32</v>
      </c>
      <c r="L137" s="8">
        <f t="shared" si="12"/>
        <v>32</v>
      </c>
      <c r="M137" s="9" t="str">
        <f t="shared" si="13"/>
        <v>Fail</v>
      </c>
      <c r="N137" s="12" t="str">
        <f t="shared" si="14"/>
        <v>F</v>
      </c>
    </row>
    <row r="138" spans="1:14" x14ac:dyDescent="0.35">
      <c r="A138" s="1">
        <v>137</v>
      </c>
      <c r="B138" s="1" t="s">
        <v>150</v>
      </c>
      <c r="C138" s="1" t="s">
        <v>10</v>
      </c>
      <c r="D138" s="1">
        <v>15</v>
      </c>
      <c r="E138" s="1" t="s">
        <v>11</v>
      </c>
      <c r="F138" s="1">
        <v>52</v>
      </c>
      <c r="G138" s="1">
        <v>39</v>
      </c>
      <c r="H138" s="1">
        <v>37</v>
      </c>
      <c r="I138" s="1">
        <v>3</v>
      </c>
      <c r="J138" s="2">
        <f t="shared" si="10"/>
        <v>131</v>
      </c>
      <c r="K138" s="6">
        <f t="shared" si="11"/>
        <v>32.75</v>
      </c>
      <c r="L138" s="8">
        <f t="shared" si="12"/>
        <v>32.75</v>
      </c>
      <c r="M138" s="9" t="str">
        <f t="shared" si="13"/>
        <v>Fail</v>
      </c>
      <c r="N138" s="12" t="str">
        <f t="shared" si="14"/>
        <v>F</v>
      </c>
    </row>
    <row r="139" spans="1:14" x14ac:dyDescent="0.35">
      <c r="A139" s="1">
        <v>138</v>
      </c>
      <c r="B139" s="1" t="s">
        <v>151</v>
      </c>
      <c r="C139" s="1" t="s">
        <v>13</v>
      </c>
      <c r="D139" s="1">
        <v>13</v>
      </c>
      <c r="E139" s="1" t="s">
        <v>11</v>
      </c>
      <c r="F139" s="1">
        <v>10</v>
      </c>
      <c r="G139" s="1">
        <v>29</v>
      </c>
      <c r="H139" s="1">
        <v>21</v>
      </c>
      <c r="I139" s="1">
        <v>13</v>
      </c>
      <c r="J139" s="2">
        <f t="shared" si="10"/>
        <v>73</v>
      </c>
      <c r="K139" s="6">
        <f t="shared" si="11"/>
        <v>18.25</v>
      </c>
      <c r="L139" s="8">
        <f t="shared" si="12"/>
        <v>18.25</v>
      </c>
      <c r="M139" s="9" t="str">
        <f t="shared" si="13"/>
        <v>Fail</v>
      </c>
      <c r="N139" s="12" t="str">
        <f t="shared" si="14"/>
        <v>F</v>
      </c>
    </row>
    <row r="140" spans="1:14" x14ac:dyDescent="0.35">
      <c r="A140" s="1">
        <v>139</v>
      </c>
      <c r="B140" s="1" t="s">
        <v>152</v>
      </c>
      <c r="C140" s="1" t="s">
        <v>13</v>
      </c>
      <c r="D140" s="1">
        <v>13</v>
      </c>
      <c r="E140" s="1" t="s">
        <v>14</v>
      </c>
      <c r="F140" s="1">
        <v>52</v>
      </c>
      <c r="G140" s="1">
        <v>62</v>
      </c>
      <c r="H140" s="1">
        <v>44</v>
      </c>
      <c r="I140" s="1">
        <v>10</v>
      </c>
      <c r="J140" s="2">
        <f t="shared" si="10"/>
        <v>168</v>
      </c>
      <c r="K140" s="6">
        <f t="shared" si="11"/>
        <v>42</v>
      </c>
      <c r="L140" s="8">
        <f t="shared" si="12"/>
        <v>42</v>
      </c>
      <c r="M140" s="9" t="str">
        <f t="shared" si="13"/>
        <v>Fail</v>
      </c>
      <c r="N140" s="12" t="str">
        <f t="shared" si="14"/>
        <v>D</v>
      </c>
    </row>
    <row r="141" spans="1:14" x14ac:dyDescent="0.35">
      <c r="A141" s="1">
        <v>140</v>
      </c>
      <c r="B141" s="1" t="s">
        <v>153</v>
      </c>
      <c r="C141" s="1" t="s">
        <v>10</v>
      </c>
      <c r="D141" s="1">
        <v>13</v>
      </c>
      <c r="E141" s="1" t="s">
        <v>14</v>
      </c>
      <c r="F141" s="1">
        <v>21</v>
      </c>
      <c r="G141" s="1">
        <v>65</v>
      </c>
      <c r="H141" s="1">
        <v>90</v>
      </c>
      <c r="I141" s="1">
        <v>4</v>
      </c>
      <c r="J141" s="2">
        <f t="shared" si="10"/>
        <v>180</v>
      </c>
      <c r="K141" s="6">
        <f t="shared" si="11"/>
        <v>45</v>
      </c>
      <c r="L141" s="8">
        <f t="shared" si="12"/>
        <v>45</v>
      </c>
      <c r="M141" s="9" t="str">
        <f t="shared" si="13"/>
        <v>Fail</v>
      </c>
      <c r="N141" s="12" t="str">
        <f t="shared" si="14"/>
        <v>D</v>
      </c>
    </row>
    <row r="142" spans="1:14" x14ac:dyDescent="0.35">
      <c r="A142" s="1">
        <v>141</v>
      </c>
      <c r="B142" s="1" t="s">
        <v>154</v>
      </c>
      <c r="C142" s="1" t="s">
        <v>13</v>
      </c>
      <c r="D142" s="1">
        <v>15</v>
      </c>
      <c r="E142" s="1" t="s">
        <v>11</v>
      </c>
      <c r="F142" s="1">
        <v>52</v>
      </c>
      <c r="G142" s="1">
        <v>30</v>
      </c>
      <c r="H142" s="1">
        <v>14</v>
      </c>
      <c r="I142" s="1">
        <v>24</v>
      </c>
      <c r="J142" s="2">
        <f t="shared" si="10"/>
        <v>120</v>
      </c>
      <c r="K142" s="6">
        <f t="shared" si="11"/>
        <v>30</v>
      </c>
      <c r="L142" s="8">
        <f t="shared" si="12"/>
        <v>30</v>
      </c>
      <c r="M142" s="9" t="str">
        <f t="shared" si="13"/>
        <v>Fail</v>
      </c>
      <c r="N142" s="12" t="str">
        <f t="shared" si="14"/>
        <v>F</v>
      </c>
    </row>
    <row r="143" spans="1:14" x14ac:dyDescent="0.35">
      <c r="A143" s="1">
        <v>142</v>
      </c>
      <c r="B143" s="1" t="s">
        <v>155</v>
      </c>
      <c r="C143" s="1" t="s">
        <v>10</v>
      </c>
      <c r="D143" s="1">
        <v>14</v>
      </c>
      <c r="E143" s="1" t="s">
        <v>14</v>
      </c>
      <c r="F143" s="1">
        <v>77</v>
      </c>
      <c r="G143" s="1">
        <v>79</v>
      </c>
      <c r="H143" s="1">
        <v>92</v>
      </c>
      <c r="I143" s="1">
        <v>36</v>
      </c>
      <c r="J143" s="2">
        <f t="shared" si="10"/>
        <v>284</v>
      </c>
      <c r="K143" s="6">
        <f t="shared" si="11"/>
        <v>71</v>
      </c>
      <c r="L143" s="8">
        <f t="shared" si="12"/>
        <v>71</v>
      </c>
      <c r="M143" s="9" t="str">
        <f t="shared" si="13"/>
        <v>Pass</v>
      </c>
      <c r="N143" s="12" t="str">
        <f t="shared" si="14"/>
        <v>B</v>
      </c>
    </row>
    <row r="144" spans="1:14" x14ac:dyDescent="0.35">
      <c r="A144" s="1">
        <v>143</v>
      </c>
      <c r="B144" s="1" t="s">
        <v>156</v>
      </c>
      <c r="C144" s="1" t="s">
        <v>13</v>
      </c>
      <c r="D144" s="1">
        <v>13</v>
      </c>
      <c r="E144" s="1" t="s">
        <v>14</v>
      </c>
      <c r="F144" s="1">
        <v>5</v>
      </c>
      <c r="G144" s="1">
        <v>3</v>
      </c>
      <c r="H144" s="1">
        <v>97</v>
      </c>
      <c r="I144" s="1">
        <v>84</v>
      </c>
      <c r="J144" s="2">
        <f t="shared" si="10"/>
        <v>189</v>
      </c>
      <c r="K144" s="6">
        <f t="shared" si="11"/>
        <v>47.25</v>
      </c>
      <c r="L144" s="8">
        <f t="shared" si="12"/>
        <v>47.25</v>
      </c>
      <c r="M144" s="9" t="str">
        <f t="shared" si="13"/>
        <v>Fail</v>
      </c>
      <c r="N144" s="12" t="str">
        <f t="shared" si="14"/>
        <v>D</v>
      </c>
    </row>
    <row r="145" spans="1:14" x14ac:dyDescent="0.35">
      <c r="A145" s="1">
        <v>144</v>
      </c>
      <c r="B145" s="1" t="s">
        <v>157</v>
      </c>
      <c r="C145" s="1" t="s">
        <v>10</v>
      </c>
      <c r="D145" s="1">
        <v>13</v>
      </c>
      <c r="E145" s="1" t="s">
        <v>11</v>
      </c>
      <c r="F145" s="1">
        <v>63</v>
      </c>
      <c r="G145" s="1">
        <v>12</v>
      </c>
      <c r="H145" s="1">
        <v>69</v>
      </c>
      <c r="I145" s="1">
        <v>41</v>
      </c>
      <c r="J145" s="2">
        <f t="shared" si="10"/>
        <v>185</v>
      </c>
      <c r="K145" s="6">
        <f t="shared" si="11"/>
        <v>46.25</v>
      </c>
      <c r="L145" s="8">
        <f t="shared" si="12"/>
        <v>46.25</v>
      </c>
      <c r="M145" s="9" t="str">
        <f t="shared" si="13"/>
        <v>Fail</v>
      </c>
      <c r="N145" s="12" t="str">
        <f t="shared" si="14"/>
        <v>D</v>
      </c>
    </row>
    <row r="146" spans="1:14" x14ac:dyDescent="0.35">
      <c r="A146" s="1">
        <v>145</v>
      </c>
      <c r="B146" s="1" t="s">
        <v>158</v>
      </c>
      <c r="C146" s="1" t="s">
        <v>13</v>
      </c>
      <c r="D146" s="1">
        <v>15</v>
      </c>
      <c r="E146" s="1" t="s">
        <v>18</v>
      </c>
      <c r="F146" s="1">
        <v>76</v>
      </c>
      <c r="G146" s="1">
        <v>53</v>
      </c>
      <c r="H146" s="1">
        <v>32</v>
      </c>
      <c r="I146" s="1">
        <v>69</v>
      </c>
      <c r="J146" s="2">
        <f t="shared" si="10"/>
        <v>230</v>
      </c>
      <c r="K146" s="6">
        <f t="shared" si="11"/>
        <v>57.5</v>
      </c>
      <c r="L146" s="8">
        <f t="shared" si="12"/>
        <v>57.499999999999993</v>
      </c>
      <c r="M146" s="9" t="str">
        <f t="shared" si="13"/>
        <v>Fail</v>
      </c>
      <c r="N146" s="12" t="str">
        <f t="shared" si="14"/>
        <v>C</v>
      </c>
    </row>
    <row r="147" spans="1:14" x14ac:dyDescent="0.35">
      <c r="A147" s="1">
        <v>146</v>
      </c>
      <c r="B147" s="1" t="s">
        <v>98</v>
      </c>
      <c r="C147" s="1" t="s">
        <v>10</v>
      </c>
      <c r="D147" s="1">
        <v>15</v>
      </c>
      <c r="E147" s="1" t="s">
        <v>14</v>
      </c>
      <c r="F147" s="1">
        <v>43</v>
      </c>
      <c r="G147" s="1">
        <v>4</v>
      </c>
      <c r="H147" s="1">
        <v>40</v>
      </c>
      <c r="I147" s="1">
        <v>93</v>
      </c>
      <c r="J147" s="2">
        <f t="shared" si="10"/>
        <v>180</v>
      </c>
      <c r="K147" s="6">
        <f t="shared" si="11"/>
        <v>45</v>
      </c>
      <c r="L147" s="8">
        <f t="shared" si="12"/>
        <v>45</v>
      </c>
      <c r="M147" s="9" t="str">
        <f t="shared" si="13"/>
        <v>Fail</v>
      </c>
      <c r="N147" s="12" t="str">
        <f t="shared" si="14"/>
        <v>D</v>
      </c>
    </row>
    <row r="148" spans="1:14" x14ac:dyDescent="0.35">
      <c r="A148" s="1">
        <v>147</v>
      </c>
      <c r="B148" s="1" t="s">
        <v>159</v>
      </c>
      <c r="C148" s="1" t="s">
        <v>13</v>
      </c>
      <c r="D148" s="1">
        <v>15</v>
      </c>
      <c r="E148" s="1" t="s">
        <v>11</v>
      </c>
      <c r="F148" s="1">
        <v>33</v>
      </c>
      <c r="G148" s="1">
        <v>75</v>
      </c>
      <c r="H148" s="1">
        <v>98</v>
      </c>
      <c r="I148" s="1">
        <v>84</v>
      </c>
      <c r="J148" s="2">
        <f t="shared" si="10"/>
        <v>290</v>
      </c>
      <c r="K148" s="6">
        <f t="shared" si="11"/>
        <v>72.5</v>
      </c>
      <c r="L148" s="8">
        <f t="shared" si="12"/>
        <v>72.5</v>
      </c>
      <c r="M148" s="9" t="str">
        <f t="shared" si="13"/>
        <v>Fail</v>
      </c>
      <c r="N148" s="12" t="str">
        <f t="shared" si="14"/>
        <v>B</v>
      </c>
    </row>
    <row r="149" spans="1:14" x14ac:dyDescent="0.35">
      <c r="A149" s="1">
        <v>148</v>
      </c>
      <c r="B149" s="1" t="s">
        <v>160</v>
      </c>
      <c r="C149" s="1" t="s">
        <v>10</v>
      </c>
      <c r="D149" s="1">
        <v>13</v>
      </c>
      <c r="E149" s="1" t="s">
        <v>14</v>
      </c>
      <c r="F149" s="1">
        <v>92</v>
      </c>
      <c r="G149" s="1">
        <v>67</v>
      </c>
      <c r="H149" s="1">
        <v>13</v>
      </c>
      <c r="I149" s="1">
        <v>25</v>
      </c>
      <c r="J149" s="2">
        <f t="shared" si="10"/>
        <v>197</v>
      </c>
      <c r="K149" s="6">
        <f t="shared" si="11"/>
        <v>49.25</v>
      </c>
      <c r="L149" s="8">
        <f t="shared" si="12"/>
        <v>49.25</v>
      </c>
      <c r="M149" s="9" t="str">
        <f t="shared" si="13"/>
        <v>Fail</v>
      </c>
      <c r="N149" s="12" t="str">
        <f t="shared" si="14"/>
        <v>D</v>
      </c>
    </row>
    <row r="150" spans="1:14" x14ac:dyDescent="0.35">
      <c r="A150" s="1">
        <v>149</v>
      </c>
      <c r="B150" s="1" t="s">
        <v>161</v>
      </c>
      <c r="C150" s="1" t="s">
        <v>10</v>
      </c>
      <c r="D150" s="1">
        <v>15</v>
      </c>
      <c r="E150" s="1" t="s">
        <v>11</v>
      </c>
      <c r="F150" s="1">
        <v>51</v>
      </c>
      <c r="G150" s="1">
        <v>67</v>
      </c>
      <c r="H150" s="1">
        <v>67</v>
      </c>
      <c r="I150" s="1">
        <v>91</v>
      </c>
      <c r="J150" s="2">
        <f t="shared" si="10"/>
        <v>276</v>
      </c>
      <c r="K150" s="6">
        <f t="shared" si="11"/>
        <v>69</v>
      </c>
      <c r="L150" s="8">
        <f t="shared" si="12"/>
        <v>69</v>
      </c>
      <c r="M150" s="9" t="str">
        <f t="shared" si="13"/>
        <v>Pass</v>
      </c>
      <c r="N150" s="12" t="str">
        <f t="shared" si="14"/>
        <v>B</v>
      </c>
    </row>
    <row r="151" spans="1:14" x14ac:dyDescent="0.35">
      <c r="A151" s="1">
        <v>150</v>
      </c>
      <c r="B151" s="1" t="s">
        <v>162</v>
      </c>
      <c r="C151" s="1" t="s">
        <v>10</v>
      </c>
      <c r="D151" s="1">
        <v>13</v>
      </c>
      <c r="E151" s="1" t="s">
        <v>14</v>
      </c>
      <c r="F151" s="1">
        <v>53</v>
      </c>
      <c r="G151" s="1">
        <v>95</v>
      </c>
      <c r="H151" s="1">
        <v>75</v>
      </c>
      <c r="I151" s="1">
        <v>81</v>
      </c>
      <c r="J151" s="2">
        <f t="shared" si="10"/>
        <v>304</v>
      </c>
      <c r="K151" s="6">
        <f t="shared" si="11"/>
        <v>76</v>
      </c>
      <c r="L151" s="8">
        <f t="shared" si="12"/>
        <v>76</v>
      </c>
      <c r="M151" s="9" t="str">
        <f t="shared" si="13"/>
        <v>Pass</v>
      </c>
      <c r="N151" s="12" t="str">
        <f t="shared" si="14"/>
        <v>A</v>
      </c>
    </row>
    <row r="152" spans="1:14" x14ac:dyDescent="0.35">
      <c r="A152" s="1">
        <v>151</v>
      </c>
      <c r="B152" s="1" t="s">
        <v>163</v>
      </c>
      <c r="C152" s="1" t="s">
        <v>13</v>
      </c>
      <c r="D152" s="1">
        <v>13</v>
      </c>
      <c r="E152" s="1" t="s">
        <v>18</v>
      </c>
      <c r="F152" s="1">
        <v>92</v>
      </c>
      <c r="G152" s="1">
        <v>97</v>
      </c>
      <c r="H152" s="1">
        <v>62</v>
      </c>
      <c r="I152" s="1">
        <v>69</v>
      </c>
      <c r="J152" s="2">
        <f t="shared" si="10"/>
        <v>320</v>
      </c>
      <c r="K152" s="6">
        <f t="shared" si="11"/>
        <v>80</v>
      </c>
      <c r="L152" s="8">
        <f t="shared" si="12"/>
        <v>80</v>
      </c>
      <c r="M152" s="9" t="str">
        <f t="shared" si="13"/>
        <v>Pass</v>
      </c>
      <c r="N152" s="12" t="str">
        <f t="shared" si="14"/>
        <v>A</v>
      </c>
    </row>
    <row r="153" spans="1:14" x14ac:dyDescent="0.35">
      <c r="A153" s="1">
        <v>152</v>
      </c>
      <c r="B153" s="1" t="s">
        <v>164</v>
      </c>
      <c r="C153" s="1" t="s">
        <v>10</v>
      </c>
      <c r="D153" s="1">
        <v>15</v>
      </c>
      <c r="E153" s="1" t="s">
        <v>18</v>
      </c>
      <c r="F153" s="1">
        <v>26</v>
      </c>
      <c r="G153" s="1">
        <v>76</v>
      </c>
      <c r="H153" s="1">
        <v>56</v>
      </c>
      <c r="I153" s="1">
        <v>75</v>
      </c>
      <c r="J153" s="2">
        <f t="shared" si="10"/>
        <v>233</v>
      </c>
      <c r="K153" s="6">
        <f t="shared" si="11"/>
        <v>58.25</v>
      </c>
      <c r="L153" s="8">
        <f t="shared" si="12"/>
        <v>58.25</v>
      </c>
      <c r="M153" s="9" t="str">
        <f t="shared" si="13"/>
        <v>Fail</v>
      </c>
      <c r="N153" s="12" t="str">
        <f t="shared" si="14"/>
        <v>C</v>
      </c>
    </row>
    <row r="154" spans="1:14" x14ac:dyDescent="0.35">
      <c r="A154" s="1">
        <v>153</v>
      </c>
      <c r="B154" s="1" t="s">
        <v>165</v>
      </c>
      <c r="C154" s="1" t="s">
        <v>13</v>
      </c>
      <c r="D154" s="1">
        <v>13</v>
      </c>
      <c r="E154" s="1" t="s">
        <v>18</v>
      </c>
      <c r="F154" s="1">
        <v>23</v>
      </c>
      <c r="G154" s="1">
        <v>41</v>
      </c>
      <c r="H154" s="1">
        <v>49</v>
      </c>
      <c r="I154" s="1">
        <v>79</v>
      </c>
      <c r="J154" s="2">
        <f t="shared" si="10"/>
        <v>192</v>
      </c>
      <c r="K154" s="6">
        <f t="shared" si="11"/>
        <v>48</v>
      </c>
      <c r="L154" s="8">
        <f t="shared" si="12"/>
        <v>48</v>
      </c>
      <c r="M154" s="9" t="str">
        <f t="shared" si="13"/>
        <v>Fail</v>
      </c>
      <c r="N154" s="12" t="str">
        <f t="shared" si="14"/>
        <v>D</v>
      </c>
    </row>
    <row r="155" spans="1:14" x14ac:dyDescent="0.35">
      <c r="A155" s="1">
        <v>154</v>
      </c>
      <c r="B155" s="1" t="s">
        <v>166</v>
      </c>
      <c r="C155" s="1" t="s">
        <v>10</v>
      </c>
      <c r="D155" s="1">
        <v>14</v>
      </c>
      <c r="E155" s="1" t="s">
        <v>18</v>
      </c>
      <c r="F155" s="1">
        <v>47</v>
      </c>
      <c r="G155" s="1">
        <v>16</v>
      </c>
      <c r="H155" s="1">
        <v>55</v>
      </c>
      <c r="I155" s="1">
        <v>21</v>
      </c>
      <c r="J155" s="2">
        <f t="shared" si="10"/>
        <v>139</v>
      </c>
      <c r="K155" s="6">
        <f t="shared" si="11"/>
        <v>34.75</v>
      </c>
      <c r="L155" s="8">
        <f t="shared" si="12"/>
        <v>34.75</v>
      </c>
      <c r="M155" s="9" t="str">
        <f t="shared" si="13"/>
        <v>Fail</v>
      </c>
      <c r="N155" s="12" t="str">
        <f t="shared" si="14"/>
        <v>F</v>
      </c>
    </row>
    <row r="156" spans="1:14" x14ac:dyDescent="0.35">
      <c r="A156" s="1">
        <v>155</v>
      </c>
      <c r="B156" s="1" t="s">
        <v>167</v>
      </c>
      <c r="C156" s="1" t="s">
        <v>13</v>
      </c>
      <c r="D156" s="1">
        <v>14</v>
      </c>
      <c r="E156" s="1" t="s">
        <v>11</v>
      </c>
      <c r="F156" s="1">
        <v>32</v>
      </c>
      <c r="G156" s="1">
        <v>3</v>
      </c>
      <c r="H156" s="1">
        <v>69</v>
      </c>
      <c r="I156" s="1">
        <v>96</v>
      </c>
      <c r="J156" s="2">
        <f t="shared" si="10"/>
        <v>200</v>
      </c>
      <c r="K156" s="6">
        <f t="shared" si="11"/>
        <v>50</v>
      </c>
      <c r="L156" s="8">
        <f t="shared" si="12"/>
        <v>50</v>
      </c>
      <c r="M156" s="9" t="str">
        <f t="shared" si="13"/>
        <v>Fail</v>
      </c>
      <c r="N156" s="12" t="str">
        <f t="shared" si="14"/>
        <v>C</v>
      </c>
    </row>
    <row r="157" spans="1:14" x14ac:dyDescent="0.35">
      <c r="A157" s="1">
        <v>156</v>
      </c>
      <c r="B157" s="1" t="s">
        <v>168</v>
      </c>
      <c r="C157" s="1" t="s">
        <v>10</v>
      </c>
      <c r="D157" s="1">
        <v>13</v>
      </c>
      <c r="E157" s="1" t="s">
        <v>14</v>
      </c>
      <c r="F157" s="1">
        <v>55</v>
      </c>
      <c r="G157" s="1">
        <v>99</v>
      </c>
      <c r="H157" s="1">
        <v>8</v>
      </c>
      <c r="I157" s="1">
        <v>72</v>
      </c>
      <c r="J157" s="2">
        <f t="shared" si="10"/>
        <v>234</v>
      </c>
      <c r="K157" s="6">
        <f t="shared" si="11"/>
        <v>58.5</v>
      </c>
      <c r="L157" s="8">
        <f t="shared" si="12"/>
        <v>58.5</v>
      </c>
      <c r="M157" s="9" t="str">
        <f t="shared" si="13"/>
        <v>Fail</v>
      </c>
      <c r="N157" s="12" t="str">
        <f t="shared" si="14"/>
        <v>C</v>
      </c>
    </row>
    <row r="158" spans="1:14" x14ac:dyDescent="0.35">
      <c r="A158" s="1">
        <v>157</v>
      </c>
      <c r="B158" s="1" t="s">
        <v>169</v>
      </c>
      <c r="C158" s="1" t="s">
        <v>13</v>
      </c>
      <c r="D158" s="1">
        <v>15</v>
      </c>
      <c r="E158" s="1" t="s">
        <v>11</v>
      </c>
      <c r="F158" s="1">
        <v>67</v>
      </c>
      <c r="G158" s="1">
        <v>88</v>
      </c>
      <c r="H158" s="1">
        <v>41</v>
      </c>
      <c r="I158" s="1">
        <v>8</v>
      </c>
      <c r="J158" s="2">
        <f t="shared" si="10"/>
        <v>204</v>
      </c>
      <c r="K158" s="6">
        <f t="shared" si="11"/>
        <v>51</v>
      </c>
      <c r="L158" s="8">
        <f t="shared" si="12"/>
        <v>51</v>
      </c>
      <c r="M158" s="9" t="str">
        <f t="shared" si="13"/>
        <v>Fail</v>
      </c>
      <c r="N158" s="12" t="str">
        <f t="shared" si="14"/>
        <v>C</v>
      </c>
    </row>
    <row r="159" spans="1:14" x14ac:dyDescent="0.35">
      <c r="A159" s="1">
        <v>158</v>
      </c>
      <c r="B159" s="1" t="s">
        <v>170</v>
      </c>
      <c r="C159" s="1" t="s">
        <v>10</v>
      </c>
      <c r="D159" s="1">
        <v>13</v>
      </c>
      <c r="E159" s="1" t="s">
        <v>11</v>
      </c>
      <c r="F159" s="1">
        <v>72</v>
      </c>
      <c r="G159" s="1">
        <v>24</v>
      </c>
      <c r="H159" s="1">
        <v>83</v>
      </c>
      <c r="I159" s="1">
        <v>62</v>
      </c>
      <c r="J159" s="2">
        <f t="shared" si="10"/>
        <v>241</v>
      </c>
      <c r="K159" s="6">
        <f t="shared" si="11"/>
        <v>60.25</v>
      </c>
      <c r="L159" s="8">
        <f t="shared" si="12"/>
        <v>60.25</v>
      </c>
      <c r="M159" s="9" t="str">
        <f t="shared" si="13"/>
        <v>Fail</v>
      </c>
      <c r="N159" s="12" t="str">
        <f t="shared" si="14"/>
        <v>B</v>
      </c>
    </row>
    <row r="160" spans="1:14" x14ac:dyDescent="0.35">
      <c r="A160" s="1">
        <v>159</v>
      </c>
      <c r="B160" s="1" t="s">
        <v>171</v>
      </c>
      <c r="C160" s="1" t="s">
        <v>13</v>
      </c>
      <c r="D160" s="1">
        <v>14</v>
      </c>
      <c r="E160" s="1" t="s">
        <v>18</v>
      </c>
      <c r="F160" s="1">
        <v>73</v>
      </c>
      <c r="G160" s="1">
        <v>71</v>
      </c>
      <c r="H160" s="1">
        <v>87</v>
      </c>
      <c r="I160" s="1">
        <v>30</v>
      </c>
      <c r="J160" s="2">
        <f t="shared" si="10"/>
        <v>261</v>
      </c>
      <c r="K160" s="6">
        <f t="shared" si="11"/>
        <v>65.25</v>
      </c>
      <c r="L160" s="8">
        <f t="shared" si="12"/>
        <v>65.25</v>
      </c>
      <c r="M160" s="9" t="str">
        <f t="shared" si="13"/>
        <v>Fail</v>
      </c>
      <c r="N160" s="12" t="str">
        <f t="shared" si="14"/>
        <v>B</v>
      </c>
    </row>
    <row r="161" spans="1:14" x14ac:dyDescent="0.35">
      <c r="A161" s="1">
        <v>160</v>
      </c>
      <c r="B161" s="1" t="s">
        <v>172</v>
      </c>
      <c r="C161" s="1" t="s">
        <v>13</v>
      </c>
      <c r="D161" s="1">
        <v>14</v>
      </c>
      <c r="E161" s="1" t="s">
        <v>14</v>
      </c>
      <c r="F161" s="1">
        <v>61</v>
      </c>
      <c r="G161" s="1">
        <v>89</v>
      </c>
      <c r="H161" s="1">
        <v>70</v>
      </c>
      <c r="I161" s="1">
        <v>68</v>
      </c>
      <c r="J161" s="2">
        <f t="shared" si="10"/>
        <v>288</v>
      </c>
      <c r="K161" s="6">
        <f t="shared" si="11"/>
        <v>72</v>
      </c>
      <c r="L161" s="8">
        <f t="shared" si="12"/>
        <v>72</v>
      </c>
      <c r="M161" s="9" t="str">
        <f t="shared" si="13"/>
        <v>Pass</v>
      </c>
      <c r="N161" s="12" t="str">
        <f t="shared" si="14"/>
        <v>B</v>
      </c>
    </row>
    <row r="162" spans="1:14" x14ac:dyDescent="0.35">
      <c r="A162" s="1">
        <v>161</v>
      </c>
      <c r="B162" s="1" t="s">
        <v>173</v>
      </c>
      <c r="C162" s="1" t="s">
        <v>10</v>
      </c>
      <c r="D162" s="1">
        <v>15</v>
      </c>
      <c r="E162" s="1" t="s">
        <v>11</v>
      </c>
      <c r="F162" s="1">
        <v>58</v>
      </c>
      <c r="G162" s="1">
        <v>25</v>
      </c>
      <c r="H162" s="1">
        <v>23</v>
      </c>
      <c r="I162" s="1">
        <v>39</v>
      </c>
      <c r="J162" s="2">
        <f t="shared" si="10"/>
        <v>145</v>
      </c>
      <c r="K162" s="6">
        <f t="shared" si="11"/>
        <v>36.25</v>
      </c>
      <c r="L162" s="8">
        <f t="shared" si="12"/>
        <v>36.25</v>
      </c>
      <c r="M162" s="9" t="str">
        <f t="shared" si="13"/>
        <v>Fail</v>
      </c>
      <c r="N162" s="12" t="str">
        <f t="shared" si="14"/>
        <v>D</v>
      </c>
    </row>
    <row r="163" spans="1:14" x14ac:dyDescent="0.35">
      <c r="A163" s="1">
        <v>162</v>
      </c>
      <c r="B163" s="1" t="s">
        <v>174</v>
      </c>
      <c r="C163" s="1" t="s">
        <v>10</v>
      </c>
      <c r="D163" s="1">
        <v>13</v>
      </c>
      <c r="E163" s="1" t="s">
        <v>18</v>
      </c>
      <c r="F163" s="1">
        <v>100</v>
      </c>
      <c r="G163" s="1">
        <v>64</v>
      </c>
      <c r="H163" s="1">
        <v>16</v>
      </c>
      <c r="I163" s="1">
        <v>20</v>
      </c>
      <c r="J163" s="2">
        <f t="shared" si="10"/>
        <v>200</v>
      </c>
      <c r="K163" s="6">
        <f t="shared" si="11"/>
        <v>50</v>
      </c>
      <c r="L163" s="8">
        <f t="shared" si="12"/>
        <v>50</v>
      </c>
      <c r="M163" s="9" t="str">
        <f t="shared" si="13"/>
        <v>Fail</v>
      </c>
      <c r="N163" s="12" t="str">
        <f t="shared" si="14"/>
        <v>C</v>
      </c>
    </row>
    <row r="164" spans="1:14" x14ac:dyDescent="0.35">
      <c r="A164" s="1">
        <v>163</v>
      </c>
      <c r="B164" s="1" t="s">
        <v>175</v>
      </c>
      <c r="C164" s="1" t="s">
        <v>13</v>
      </c>
      <c r="D164" s="1">
        <v>15</v>
      </c>
      <c r="E164" s="1" t="s">
        <v>14</v>
      </c>
      <c r="F164" s="1">
        <v>44</v>
      </c>
      <c r="G164" s="1">
        <v>47</v>
      </c>
      <c r="H164" s="1">
        <v>43</v>
      </c>
      <c r="I164" s="1">
        <v>55</v>
      </c>
      <c r="J164" s="2">
        <f t="shared" si="10"/>
        <v>189</v>
      </c>
      <c r="K164" s="6">
        <f t="shared" si="11"/>
        <v>47.25</v>
      </c>
      <c r="L164" s="8">
        <f t="shared" si="12"/>
        <v>47.25</v>
      </c>
      <c r="M164" s="9" t="str">
        <f t="shared" si="13"/>
        <v>Pass</v>
      </c>
      <c r="N164" s="12" t="str">
        <f t="shared" si="14"/>
        <v>D</v>
      </c>
    </row>
    <row r="165" spans="1:14" x14ac:dyDescent="0.35">
      <c r="A165" s="1">
        <v>164</v>
      </c>
      <c r="B165" s="1" t="s">
        <v>176</v>
      </c>
      <c r="C165" s="1" t="s">
        <v>10</v>
      </c>
      <c r="D165" s="1">
        <v>13</v>
      </c>
      <c r="E165" s="1" t="s">
        <v>18</v>
      </c>
      <c r="F165" s="1">
        <v>91</v>
      </c>
      <c r="G165" s="1">
        <v>12</v>
      </c>
      <c r="H165" s="1">
        <v>15</v>
      </c>
      <c r="I165" s="1">
        <v>70</v>
      </c>
      <c r="J165" s="2">
        <f t="shared" si="10"/>
        <v>188</v>
      </c>
      <c r="K165" s="6">
        <f t="shared" si="11"/>
        <v>47</v>
      </c>
      <c r="L165" s="8">
        <f t="shared" si="12"/>
        <v>47</v>
      </c>
      <c r="M165" s="9" t="str">
        <f t="shared" si="13"/>
        <v>Fail</v>
      </c>
      <c r="N165" s="12" t="str">
        <f t="shared" si="14"/>
        <v>D</v>
      </c>
    </row>
    <row r="166" spans="1:14" x14ac:dyDescent="0.35">
      <c r="A166" s="1">
        <v>165</v>
      </c>
      <c r="B166" s="1" t="s">
        <v>177</v>
      </c>
      <c r="C166" s="1" t="s">
        <v>10</v>
      </c>
      <c r="D166" s="1">
        <v>15</v>
      </c>
      <c r="E166" s="1" t="s">
        <v>11</v>
      </c>
      <c r="F166" s="1">
        <v>35</v>
      </c>
      <c r="G166" s="1">
        <v>39</v>
      </c>
      <c r="H166" s="1">
        <v>61</v>
      </c>
      <c r="I166" s="1">
        <v>9</v>
      </c>
      <c r="J166" s="2">
        <f t="shared" si="10"/>
        <v>144</v>
      </c>
      <c r="K166" s="6">
        <f t="shared" si="11"/>
        <v>36</v>
      </c>
      <c r="L166" s="8">
        <f t="shared" si="12"/>
        <v>36</v>
      </c>
      <c r="M166" s="9" t="str">
        <f t="shared" si="13"/>
        <v>Fail</v>
      </c>
      <c r="N166" s="12" t="str">
        <f t="shared" si="14"/>
        <v>D</v>
      </c>
    </row>
    <row r="167" spans="1:14" x14ac:dyDescent="0.35">
      <c r="A167" s="1">
        <v>166</v>
      </c>
      <c r="B167" s="1" t="s">
        <v>178</v>
      </c>
      <c r="C167" s="1" t="s">
        <v>13</v>
      </c>
      <c r="D167" s="1">
        <v>13</v>
      </c>
      <c r="E167" s="1" t="s">
        <v>11</v>
      </c>
      <c r="F167" s="1">
        <v>67</v>
      </c>
      <c r="G167" s="1">
        <v>21</v>
      </c>
      <c r="H167" s="1">
        <v>60</v>
      </c>
      <c r="I167" s="1">
        <v>40</v>
      </c>
      <c r="J167" s="2">
        <f t="shared" si="10"/>
        <v>188</v>
      </c>
      <c r="K167" s="6">
        <f t="shared" si="11"/>
        <v>47</v>
      </c>
      <c r="L167" s="8">
        <f t="shared" si="12"/>
        <v>47</v>
      </c>
      <c r="M167" s="9" t="str">
        <f t="shared" si="13"/>
        <v>Fail</v>
      </c>
      <c r="N167" s="12" t="str">
        <f t="shared" si="14"/>
        <v>D</v>
      </c>
    </row>
    <row r="168" spans="1:14" x14ac:dyDescent="0.35">
      <c r="A168" s="1">
        <v>167</v>
      </c>
      <c r="B168" s="1" t="s">
        <v>179</v>
      </c>
      <c r="C168" s="1" t="s">
        <v>13</v>
      </c>
      <c r="D168" s="1">
        <v>15</v>
      </c>
      <c r="E168" s="1" t="s">
        <v>11</v>
      </c>
      <c r="F168" s="1">
        <v>84</v>
      </c>
      <c r="G168" s="1">
        <v>8</v>
      </c>
      <c r="H168" s="1">
        <v>71</v>
      </c>
      <c r="I168" s="1">
        <v>48</v>
      </c>
      <c r="J168" s="2">
        <f t="shared" si="10"/>
        <v>211</v>
      </c>
      <c r="K168" s="6">
        <f t="shared" si="11"/>
        <v>52.75</v>
      </c>
      <c r="L168" s="8">
        <f t="shared" si="12"/>
        <v>52.75</v>
      </c>
      <c r="M168" s="9" t="str">
        <f t="shared" si="13"/>
        <v>Fail</v>
      </c>
      <c r="N168" s="12" t="str">
        <f t="shared" si="14"/>
        <v>C</v>
      </c>
    </row>
    <row r="169" spans="1:14" x14ac:dyDescent="0.35">
      <c r="A169" s="1">
        <v>168</v>
      </c>
      <c r="B169" s="1" t="s">
        <v>31</v>
      </c>
      <c r="C169" s="1" t="s">
        <v>10</v>
      </c>
      <c r="D169" s="1">
        <v>13</v>
      </c>
      <c r="E169" s="1" t="s">
        <v>14</v>
      </c>
      <c r="F169" s="1">
        <v>23</v>
      </c>
      <c r="G169" s="1">
        <v>5</v>
      </c>
      <c r="H169" s="1">
        <v>39</v>
      </c>
      <c r="I169" s="1">
        <v>42</v>
      </c>
      <c r="J169" s="2">
        <f t="shared" si="10"/>
        <v>109</v>
      </c>
      <c r="K169" s="6">
        <f t="shared" si="11"/>
        <v>27.25</v>
      </c>
      <c r="L169" s="8">
        <f t="shared" si="12"/>
        <v>27.250000000000004</v>
      </c>
      <c r="M169" s="9" t="str">
        <f t="shared" si="13"/>
        <v>Fail</v>
      </c>
      <c r="N169" s="12" t="str">
        <f t="shared" si="14"/>
        <v>F</v>
      </c>
    </row>
    <row r="170" spans="1:14" x14ac:dyDescent="0.35">
      <c r="A170" s="1">
        <v>169</v>
      </c>
      <c r="B170" s="1" t="s">
        <v>180</v>
      </c>
      <c r="C170" s="1" t="s">
        <v>13</v>
      </c>
      <c r="D170" s="1">
        <v>14</v>
      </c>
      <c r="E170" s="1" t="s">
        <v>11</v>
      </c>
      <c r="F170" s="1">
        <v>95</v>
      </c>
      <c r="G170" s="1">
        <v>56</v>
      </c>
      <c r="H170" s="1">
        <v>4</v>
      </c>
      <c r="I170" s="1">
        <v>100</v>
      </c>
      <c r="J170" s="2">
        <f t="shared" si="10"/>
        <v>255</v>
      </c>
      <c r="K170" s="6">
        <f t="shared" si="11"/>
        <v>63.75</v>
      </c>
      <c r="L170" s="8">
        <f t="shared" si="12"/>
        <v>63.749999999999993</v>
      </c>
      <c r="M170" s="9" t="str">
        <f t="shared" si="13"/>
        <v>Fail</v>
      </c>
      <c r="N170" s="12" t="str">
        <f t="shared" si="14"/>
        <v>B</v>
      </c>
    </row>
    <row r="171" spans="1:14" x14ac:dyDescent="0.35">
      <c r="A171" s="1">
        <v>170</v>
      </c>
      <c r="B171" s="1" t="s">
        <v>181</v>
      </c>
      <c r="C171" s="1" t="s">
        <v>10</v>
      </c>
      <c r="D171" s="1">
        <v>15</v>
      </c>
      <c r="E171" s="1" t="s">
        <v>14</v>
      </c>
      <c r="F171" s="1">
        <v>38</v>
      </c>
      <c r="G171" s="1">
        <v>17</v>
      </c>
      <c r="H171" s="1">
        <v>76</v>
      </c>
      <c r="I171" s="1">
        <v>26</v>
      </c>
      <c r="J171" s="2">
        <f t="shared" si="10"/>
        <v>157</v>
      </c>
      <c r="K171" s="6">
        <f t="shared" si="11"/>
        <v>39.25</v>
      </c>
      <c r="L171" s="8">
        <f t="shared" si="12"/>
        <v>39.25</v>
      </c>
      <c r="M171" s="9" t="str">
        <f t="shared" si="13"/>
        <v>Fail</v>
      </c>
      <c r="N171" s="12" t="str">
        <f t="shared" si="14"/>
        <v>D</v>
      </c>
    </row>
    <row r="172" spans="1:14" x14ac:dyDescent="0.35">
      <c r="A172" s="1">
        <v>171</v>
      </c>
      <c r="B172" s="1" t="s">
        <v>182</v>
      </c>
      <c r="C172" s="1" t="s">
        <v>10</v>
      </c>
      <c r="D172" s="1">
        <v>15</v>
      </c>
      <c r="E172" s="1" t="s">
        <v>14</v>
      </c>
      <c r="F172" s="1">
        <v>34</v>
      </c>
      <c r="G172" s="1">
        <v>74</v>
      </c>
      <c r="H172" s="1">
        <v>83</v>
      </c>
      <c r="I172" s="1">
        <v>81</v>
      </c>
      <c r="J172" s="2">
        <f t="shared" si="10"/>
        <v>272</v>
      </c>
      <c r="K172" s="6">
        <f t="shared" si="11"/>
        <v>68</v>
      </c>
      <c r="L172" s="8">
        <f t="shared" si="12"/>
        <v>68</v>
      </c>
      <c r="M172" s="9" t="str">
        <f t="shared" si="13"/>
        <v>Fail</v>
      </c>
      <c r="N172" s="12" t="str">
        <f t="shared" si="14"/>
        <v>B</v>
      </c>
    </row>
    <row r="173" spans="1:14" x14ac:dyDescent="0.35">
      <c r="A173" s="1">
        <v>172</v>
      </c>
      <c r="B173" s="1" t="s">
        <v>183</v>
      </c>
      <c r="C173" s="1" t="s">
        <v>13</v>
      </c>
      <c r="D173" s="1">
        <v>14</v>
      </c>
      <c r="E173" s="1" t="s">
        <v>18</v>
      </c>
      <c r="F173" s="1">
        <v>86</v>
      </c>
      <c r="G173" s="1">
        <v>92</v>
      </c>
      <c r="H173" s="1">
        <v>8</v>
      </c>
      <c r="I173" s="1">
        <v>62</v>
      </c>
      <c r="J173" s="2">
        <f t="shared" si="10"/>
        <v>248</v>
      </c>
      <c r="K173" s="6">
        <f t="shared" si="11"/>
        <v>62</v>
      </c>
      <c r="L173" s="8">
        <f t="shared" si="12"/>
        <v>62</v>
      </c>
      <c r="M173" s="9" t="str">
        <f t="shared" si="13"/>
        <v>Fail</v>
      </c>
      <c r="N173" s="12" t="str">
        <f t="shared" si="14"/>
        <v>B</v>
      </c>
    </row>
    <row r="174" spans="1:14" x14ac:dyDescent="0.35">
      <c r="A174" s="1">
        <v>173</v>
      </c>
      <c r="B174" s="1" t="s">
        <v>184</v>
      </c>
      <c r="C174" s="1" t="s">
        <v>13</v>
      </c>
      <c r="D174" s="1">
        <v>15</v>
      </c>
      <c r="E174" s="1" t="s">
        <v>11</v>
      </c>
      <c r="F174" s="1">
        <v>55</v>
      </c>
      <c r="G174" s="1">
        <v>62</v>
      </c>
      <c r="H174" s="1">
        <v>57</v>
      </c>
      <c r="I174" s="1">
        <v>56</v>
      </c>
      <c r="J174" s="2">
        <f t="shared" si="10"/>
        <v>230</v>
      </c>
      <c r="K174" s="6">
        <f t="shared" si="11"/>
        <v>57.5</v>
      </c>
      <c r="L174" s="8">
        <f t="shared" si="12"/>
        <v>57.499999999999993</v>
      </c>
      <c r="M174" s="9" t="str">
        <f t="shared" si="13"/>
        <v>Pass</v>
      </c>
      <c r="N174" s="12" t="str">
        <f t="shared" si="14"/>
        <v>C</v>
      </c>
    </row>
    <row r="175" spans="1:14" x14ac:dyDescent="0.35">
      <c r="A175" s="1">
        <v>174</v>
      </c>
      <c r="B175" s="1" t="s">
        <v>185</v>
      </c>
      <c r="C175" s="1" t="s">
        <v>13</v>
      </c>
      <c r="D175" s="1">
        <v>14</v>
      </c>
      <c r="E175" s="1" t="s">
        <v>18</v>
      </c>
      <c r="F175" s="1">
        <v>94</v>
      </c>
      <c r="G175" s="1">
        <v>28</v>
      </c>
      <c r="H175" s="1">
        <v>6</v>
      </c>
      <c r="I175" s="1">
        <v>9</v>
      </c>
      <c r="J175" s="2">
        <f t="shared" si="10"/>
        <v>137</v>
      </c>
      <c r="K175" s="6">
        <f t="shared" si="11"/>
        <v>34.25</v>
      </c>
      <c r="L175" s="8">
        <f t="shared" si="12"/>
        <v>34.25</v>
      </c>
      <c r="M175" s="9" t="str">
        <f t="shared" si="13"/>
        <v>Fail</v>
      </c>
      <c r="N175" s="12" t="str">
        <f t="shared" si="14"/>
        <v>F</v>
      </c>
    </row>
    <row r="176" spans="1:14" x14ac:dyDescent="0.35">
      <c r="A176" s="1">
        <v>175</v>
      </c>
      <c r="B176" s="1" t="s">
        <v>186</v>
      </c>
      <c r="C176" s="1" t="s">
        <v>10</v>
      </c>
      <c r="D176" s="1">
        <v>14</v>
      </c>
      <c r="E176" s="1" t="s">
        <v>14</v>
      </c>
      <c r="F176" s="1">
        <v>63</v>
      </c>
      <c r="G176" s="1">
        <v>9</v>
      </c>
      <c r="H176" s="1">
        <v>91</v>
      </c>
      <c r="I176" s="1">
        <v>88</v>
      </c>
      <c r="J176" s="2">
        <f t="shared" si="10"/>
        <v>251</v>
      </c>
      <c r="K176" s="6">
        <f t="shared" si="11"/>
        <v>62.75</v>
      </c>
      <c r="L176" s="8">
        <f t="shared" si="12"/>
        <v>62.749999999999993</v>
      </c>
      <c r="M176" s="9" t="str">
        <f t="shared" si="13"/>
        <v>Fail</v>
      </c>
      <c r="N176" s="12" t="str">
        <f t="shared" si="14"/>
        <v>B</v>
      </c>
    </row>
    <row r="177" spans="1:14" x14ac:dyDescent="0.35">
      <c r="A177" s="1">
        <v>176</v>
      </c>
      <c r="B177" s="1" t="s">
        <v>187</v>
      </c>
      <c r="C177" s="1" t="s">
        <v>13</v>
      </c>
      <c r="D177" s="1">
        <v>14</v>
      </c>
      <c r="E177" s="1" t="s">
        <v>11</v>
      </c>
      <c r="F177" s="1">
        <v>95</v>
      </c>
      <c r="G177" s="1">
        <v>21</v>
      </c>
      <c r="H177" s="1">
        <v>51</v>
      </c>
      <c r="I177" s="1">
        <v>33</v>
      </c>
      <c r="J177" s="2">
        <f t="shared" si="10"/>
        <v>200</v>
      </c>
      <c r="K177" s="6">
        <f t="shared" si="11"/>
        <v>50</v>
      </c>
      <c r="L177" s="8">
        <f t="shared" si="12"/>
        <v>50</v>
      </c>
      <c r="M177" s="9" t="str">
        <f t="shared" si="13"/>
        <v>Fail</v>
      </c>
      <c r="N177" s="12" t="str">
        <f t="shared" si="14"/>
        <v>C</v>
      </c>
    </row>
    <row r="178" spans="1:14" x14ac:dyDescent="0.35">
      <c r="A178" s="1">
        <v>177</v>
      </c>
      <c r="B178" s="1" t="s">
        <v>188</v>
      </c>
      <c r="C178" s="1" t="s">
        <v>13</v>
      </c>
      <c r="D178" s="1">
        <v>13</v>
      </c>
      <c r="E178" s="1" t="s">
        <v>14</v>
      </c>
      <c r="F178" s="1">
        <v>92</v>
      </c>
      <c r="G178" s="1">
        <v>36</v>
      </c>
      <c r="H178" s="1">
        <v>59</v>
      </c>
      <c r="I178" s="1">
        <v>48</v>
      </c>
      <c r="J178" s="2">
        <f t="shared" si="10"/>
        <v>235</v>
      </c>
      <c r="K178" s="6">
        <f t="shared" si="11"/>
        <v>58.75</v>
      </c>
      <c r="L178" s="8">
        <f t="shared" si="12"/>
        <v>58.75</v>
      </c>
      <c r="M178" s="9" t="str">
        <f t="shared" si="13"/>
        <v>Pass</v>
      </c>
      <c r="N178" s="12" t="str">
        <f t="shared" si="14"/>
        <v>C</v>
      </c>
    </row>
    <row r="179" spans="1:14" x14ac:dyDescent="0.35">
      <c r="A179" s="1">
        <v>178</v>
      </c>
      <c r="B179" s="1" t="s">
        <v>189</v>
      </c>
      <c r="C179" s="1" t="s">
        <v>10</v>
      </c>
      <c r="D179" s="1">
        <v>15</v>
      </c>
      <c r="E179" s="1" t="s">
        <v>18</v>
      </c>
      <c r="F179" s="1">
        <v>87</v>
      </c>
      <c r="G179" s="1">
        <v>39</v>
      </c>
      <c r="H179" s="1">
        <v>48</v>
      </c>
      <c r="I179" s="1">
        <v>53</v>
      </c>
      <c r="J179" s="2">
        <f t="shared" si="10"/>
        <v>227</v>
      </c>
      <c r="K179" s="6">
        <f t="shared" si="11"/>
        <v>56.75</v>
      </c>
      <c r="L179" s="8">
        <f t="shared" si="12"/>
        <v>56.75</v>
      </c>
      <c r="M179" s="9" t="str">
        <f t="shared" si="13"/>
        <v>Pass</v>
      </c>
      <c r="N179" s="12" t="str">
        <f t="shared" si="14"/>
        <v>C</v>
      </c>
    </row>
    <row r="180" spans="1:14" x14ac:dyDescent="0.35">
      <c r="A180" s="1">
        <v>179</v>
      </c>
      <c r="B180" s="1" t="s">
        <v>190</v>
      </c>
      <c r="C180" s="1" t="s">
        <v>13</v>
      </c>
      <c r="D180" s="1">
        <v>13</v>
      </c>
      <c r="E180" s="1" t="s">
        <v>14</v>
      </c>
      <c r="F180" s="1">
        <v>95</v>
      </c>
      <c r="G180" s="1">
        <v>73</v>
      </c>
      <c r="H180" s="1">
        <v>91</v>
      </c>
      <c r="I180" s="1">
        <v>61</v>
      </c>
      <c r="J180" s="2">
        <f t="shared" si="10"/>
        <v>320</v>
      </c>
      <c r="K180" s="6">
        <f t="shared" si="11"/>
        <v>80</v>
      </c>
      <c r="L180" s="8">
        <f t="shared" si="12"/>
        <v>80</v>
      </c>
      <c r="M180" s="9" t="str">
        <f t="shared" si="13"/>
        <v>Pass</v>
      </c>
      <c r="N180" s="12" t="str">
        <f t="shared" si="14"/>
        <v>A</v>
      </c>
    </row>
    <row r="181" spans="1:14" x14ac:dyDescent="0.35">
      <c r="A181" s="1">
        <v>180</v>
      </c>
      <c r="B181" s="1" t="s">
        <v>191</v>
      </c>
      <c r="C181" s="1" t="s">
        <v>10</v>
      </c>
      <c r="D181" s="1">
        <v>15</v>
      </c>
      <c r="E181" s="1" t="s">
        <v>11</v>
      </c>
      <c r="F181" s="1">
        <v>32</v>
      </c>
      <c r="G181" s="1">
        <v>5</v>
      </c>
      <c r="H181" s="1">
        <v>53</v>
      </c>
      <c r="I181" s="1">
        <v>49</v>
      </c>
      <c r="J181" s="2">
        <f t="shared" si="10"/>
        <v>139</v>
      </c>
      <c r="K181" s="6">
        <f t="shared" si="11"/>
        <v>34.75</v>
      </c>
      <c r="L181" s="8">
        <f t="shared" si="12"/>
        <v>34.75</v>
      </c>
      <c r="M181" s="9" t="str">
        <f t="shared" si="13"/>
        <v>Fail</v>
      </c>
      <c r="N181" s="12" t="str">
        <f t="shared" si="14"/>
        <v>F</v>
      </c>
    </row>
    <row r="182" spans="1:14" x14ac:dyDescent="0.35">
      <c r="A182" s="1">
        <v>181</v>
      </c>
      <c r="B182" s="1" t="s">
        <v>192</v>
      </c>
      <c r="C182" s="1" t="s">
        <v>13</v>
      </c>
      <c r="D182" s="1">
        <v>13</v>
      </c>
      <c r="E182" s="1" t="s">
        <v>11</v>
      </c>
      <c r="F182" s="1">
        <v>98</v>
      </c>
      <c r="G182" s="1">
        <v>100</v>
      </c>
      <c r="H182" s="1">
        <v>23</v>
      </c>
      <c r="I182" s="1">
        <v>84</v>
      </c>
      <c r="J182" s="2">
        <f t="shared" si="10"/>
        <v>305</v>
      </c>
      <c r="K182" s="6">
        <f t="shared" si="11"/>
        <v>76.25</v>
      </c>
      <c r="L182" s="8">
        <f t="shared" si="12"/>
        <v>76.25</v>
      </c>
      <c r="M182" s="9" t="str">
        <f t="shared" si="13"/>
        <v>Fail</v>
      </c>
      <c r="N182" s="12" t="str">
        <f t="shared" si="14"/>
        <v>A</v>
      </c>
    </row>
    <row r="183" spans="1:14" x14ac:dyDescent="0.35">
      <c r="A183" s="1">
        <v>182</v>
      </c>
      <c r="B183" s="1" t="s">
        <v>193</v>
      </c>
      <c r="C183" s="1" t="s">
        <v>13</v>
      </c>
      <c r="D183" s="1">
        <v>13</v>
      </c>
      <c r="E183" s="1" t="s">
        <v>18</v>
      </c>
      <c r="F183" s="1">
        <v>62</v>
      </c>
      <c r="G183" s="1">
        <v>42</v>
      </c>
      <c r="H183" s="1">
        <v>87</v>
      </c>
      <c r="I183" s="1">
        <v>51</v>
      </c>
      <c r="J183" s="2">
        <f t="shared" si="10"/>
        <v>242</v>
      </c>
      <c r="K183" s="6">
        <f t="shared" si="11"/>
        <v>60.5</v>
      </c>
      <c r="L183" s="8">
        <f t="shared" si="12"/>
        <v>60.5</v>
      </c>
      <c r="M183" s="9" t="str">
        <f t="shared" si="13"/>
        <v>Pass</v>
      </c>
      <c r="N183" s="12" t="str">
        <f t="shared" si="14"/>
        <v>B</v>
      </c>
    </row>
    <row r="184" spans="1:14" x14ac:dyDescent="0.35">
      <c r="A184" s="1">
        <v>183</v>
      </c>
      <c r="B184" s="1" t="s">
        <v>194</v>
      </c>
      <c r="C184" s="1" t="s">
        <v>10</v>
      </c>
      <c r="D184" s="1">
        <v>15</v>
      </c>
      <c r="E184" s="1" t="s">
        <v>18</v>
      </c>
      <c r="F184" s="1">
        <v>60</v>
      </c>
      <c r="G184" s="1">
        <v>42</v>
      </c>
      <c r="H184" s="1">
        <v>49</v>
      </c>
      <c r="I184" s="1">
        <v>25</v>
      </c>
      <c r="J184" s="2">
        <f t="shared" si="10"/>
        <v>176</v>
      </c>
      <c r="K184" s="6">
        <f t="shared" si="11"/>
        <v>44</v>
      </c>
      <c r="L184" s="8">
        <f t="shared" si="12"/>
        <v>44</v>
      </c>
      <c r="M184" s="9" t="str">
        <f t="shared" si="13"/>
        <v>Fail</v>
      </c>
      <c r="N184" s="12" t="str">
        <f t="shared" si="14"/>
        <v>D</v>
      </c>
    </row>
    <row r="185" spans="1:14" x14ac:dyDescent="0.35">
      <c r="A185" s="1">
        <v>184</v>
      </c>
      <c r="B185" s="1" t="s">
        <v>195</v>
      </c>
      <c r="C185" s="1" t="s">
        <v>10</v>
      </c>
      <c r="D185" s="1">
        <v>13</v>
      </c>
      <c r="E185" s="1" t="s">
        <v>11</v>
      </c>
      <c r="F185" s="1">
        <v>53</v>
      </c>
      <c r="G185" s="1">
        <v>37</v>
      </c>
      <c r="H185" s="1">
        <v>83</v>
      </c>
      <c r="I185" s="1">
        <v>64</v>
      </c>
      <c r="J185" s="2">
        <f t="shared" si="10"/>
        <v>237</v>
      </c>
      <c r="K185" s="6">
        <f t="shared" si="11"/>
        <v>59.25</v>
      </c>
      <c r="L185" s="8">
        <f t="shared" si="12"/>
        <v>59.25</v>
      </c>
      <c r="M185" s="9" t="str">
        <f t="shared" si="13"/>
        <v>Pass</v>
      </c>
      <c r="N185" s="12" t="str">
        <f t="shared" si="14"/>
        <v>C</v>
      </c>
    </row>
    <row r="186" spans="1:14" x14ac:dyDescent="0.35">
      <c r="A186" s="1">
        <v>185</v>
      </c>
      <c r="B186" s="1" t="s">
        <v>196</v>
      </c>
      <c r="C186" s="1" t="s">
        <v>13</v>
      </c>
      <c r="D186" s="1">
        <v>14</v>
      </c>
      <c r="E186" s="1" t="s">
        <v>14</v>
      </c>
      <c r="F186" s="1">
        <v>75</v>
      </c>
      <c r="G186" s="1">
        <v>14</v>
      </c>
      <c r="H186" s="1">
        <v>54</v>
      </c>
      <c r="I186" s="1">
        <v>68</v>
      </c>
      <c r="J186" s="2">
        <f t="shared" si="10"/>
        <v>211</v>
      </c>
      <c r="K186" s="6">
        <f t="shared" si="11"/>
        <v>52.75</v>
      </c>
      <c r="L186" s="8">
        <f t="shared" si="12"/>
        <v>52.75</v>
      </c>
      <c r="M186" s="9" t="str">
        <f t="shared" si="13"/>
        <v>Fail</v>
      </c>
      <c r="N186" s="12" t="str">
        <f t="shared" si="14"/>
        <v>C</v>
      </c>
    </row>
    <row r="187" spans="1:14" x14ac:dyDescent="0.35">
      <c r="A187" s="1">
        <v>186</v>
      </c>
      <c r="B187" s="1" t="s">
        <v>197</v>
      </c>
      <c r="C187" s="1" t="s">
        <v>13</v>
      </c>
      <c r="D187" s="1">
        <v>15</v>
      </c>
      <c r="E187" s="1" t="s">
        <v>18</v>
      </c>
      <c r="F187" s="1">
        <v>48</v>
      </c>
      <c r="G187" s="1">
        <v>2</v>
      </c>
      <c r="H187" s="1">
        <v>63</v>
      </c>
      <c r="I187" s="1">
        <v>91</v>
      </c>
      <c r="J187" s="2">
        <f t="shared" si="10"/>
        <v>204</v>
      </c>
      <c r="K187" s="6">
        <f t="shared" si="11"/>
        <v>51</v>
      </c>
      <c r="L187" s="8">
        <f t="shared" si="12"/>
        <v>51</v>
      </c>
      <c r="M187" s="9" t="str">
        <f t="shared" si="13"/>
        <v>Fail</v>
      </c>
      <c r="N187" s="12" t="str">
        <f t="shared" si="14"/>
        <v>C</v>
      </c>
    </row>
    <row r="188" spans="1:14" x14ac:dyDescent="0.35">
      <c r="A188" s="1">
        <v>187</v>
      </c>
      <c r="B188" s="1" t="s">
        <v>198</v>
      </c>
      <c r="C188" s="1" t="s">
        <v>13</v>
      </c>
      <c r="D188" s="1">
        <v>14</v>
      </c>
      <c r="E188" s="1" t="s">
        <v>18</v>
      </c>
      <c r="F188" s="1">
        <v>27</v>
      </c>
      <c r="G188" s="1">
        <v>11</v>
      </c>
      <c r="H188" s="1">
        <v>18</v>
      </c>
      <c r="I188" s="1">
        <v>92</v>
      </c>
      <c r="J188" s="2">
        <f t="shared" si="10"/>
        <v>148</v>
      </c>
      <c r="K188" s="6">
        <f t="shared" si="11"/>
        <v>37</v>
      </c>
      <c r="L188" s="8">
        <f t="shared" si="12"/>
        <v>37</v>
      </c>
      <c r="M188" s="9" t="str">
        <f t="shared" si="13"/>
        <v>Fail</v>
      </c>
      <c r="N188" s="12" t="str">
        <f t="shared" si="14"/>
        <v>D</v>
      </c>
    </row>
    <row r="189" spans="1:14" x14ac:dyDescent="0.35">
      <c r="A189" s="1">
        <v>188</v>
      </c>
      <c r="B189" s="1" t="s">
        <v>199</v>
      </c>
      <c r="C189" s="1" t="s">
        <v>10</v>
      </c>
      <c r="D189" s="1">
        <v>14</v>
      </c>
      <c r="E189" s="1" t="s">
        <v>14</v>
      </c>
      <c r="F189" s="1">
        <v>60</v>
      </c>
      <c r="G189" s="1">
        <v>55</v>
      </c>
      <c r="H189" s="1">
        <v>30</v>
      </c>
      <c r="I189" s="1">
        <v>83</v>
      </c>
      <c r="J189" s="2">
        <f t="shared" si="10"/>
        <v>228</v>
      </c>
      <c r="K189" s="6">
        <f t="shared" si="11"/>
        <v>57</v>
      </c>
      <c r="L189" s="8">
        <f t="shared" si="12"/>
        <v>56.999999999999993</v>
      </c>
      <c r="M189" s="9" t="str">
        <f t="shared" si="13"/>
        <v>Fail</v>
      </c>
      <c r="N189" s="12" t="str">
        <f t="shared" si="14"/>
        <v>C</v>
      </c>
    </row>
    <row r="190" spans="1:14" x14ac:dyDescent="0.35">
      <c r="A190" s="1">
        <v>189</v>
      </c>
      <c r="B190" s="1" t="s">
        <v>200</v>
      </c>
      <c r="C190" s="1" t="s">
        <v>10</v>
      </c>
      <c r="D190" s="1">
        <v>15</v>
      </c>
      <c r="E190" s="1" t="s">
        <v>11</v>
      </c>
      <c r="F190" s="1">
        <v>87</v>
      </c>
      <c r="G190" s="1">
        <v>21</v>
      </c>
      <c r="H190" s="1">
        <v>41</v>
      </c>
      <c r="I190" s="1">
        <v>24</v>
      </c>
      <c r="J190" s="2">
        <f t="shared" si="10"/>
        <v>173</v>
      </c>
      <c r="K190" s="6">
        <f t="shared" si="11"/>
        <v>43.25</v>
      </c>
      <c r="L190" s="8">
        <f t="shared" si="12"/>
        <v>43.25</v>
      </c>
      <c r="M190" s="9" t="str">
        <f t="shared" si="13"/>
        <v>Fail</v>
      </c>
      <c r="N190" s="12" t="str">
        <f t="shared" si="14"/>
        <v>D</v>
      </c>
    </row>
    <row r="191" spans="1:14" x14ac:dyDescent="0.35">
      <c r="A191" s="1">
        <v>190</v>
      </c>
      <c r="B191" s="1" t="s">
        <v>201</v>
      </c>
      <c r="C191" s="1" t="s">
        <v>13</v>
      </c>
      <c r="D191" s="1">
        <v>13</v>
      </c>
      <c r="E191" s="1" t="s">
        <v>18</v>
      </c>
      <c r="F191" s="1">
        <v>14</v>
      </c>
      <c r="G191" s="1">
        <v>6</v>
      </c>
      <c r="H191" s="1">
        <v>29</v>
      </c>
      <c r="I191" s="1">
        <v>72</v>
      </c>
      <c r="J191" s="2">
        <f t="shared" si="10"/>
        <v>121</v>
      </c>
      <c r="K191" s="6">
        <f t="shared" si="11"/>
        <v>30.25</v>
      </c>
      <c r="L191" s="8">
        <f t="shared" si="12"/>
        <v>30.25</v>
      </c>
      <c r="M191" s="9" t="str">
        <f t="shared" si="13"/>
        <v>Fail</v>
      </c>
      <c r="N191" s="12" t="str">
        <f t="shared" si="14"/>
        <v>F</v>
      </c>
    </row>
    <row r="192" spans="1:14" x14ac:dyDescent="0.35">
      <c r="A192" s="1">
        <v>191</v>
      </c>
      <c r="B192" s="1" t="s">
        <v>202</v>
      </c>
      <c r="C192" s="1" t="s">
        <v>13</v>
      </c>
      <c r="D192" s="1">
        <v>14</v>
      </c>
      <c r="E192" s="1" t="s">
        <v>11</v>
      </c>
      <c r="F192" s="1">
        <v>38</v>
      </c>
      <c r="G192" s="1">
        <v>66</v>
      </c>
      <c r="H192" s="1">
        <v>53</v>
      </c>
      <c r="I192" s="1">
        <v>32</v>
      </c>
      <c r="J192" s="2">
        <f t="shared" si="10"/>
        <v>189</v>
      </c>
      <c r="K192" s="6">
        <f t="shared" si="11"/>
        <v>47.25</v>
      </c>
      <c r="L192" s="8">
        <f t="shared" si="12"/>
        <v>47.25</v>
      </c>
      <c r="M192" s="9" t="str">
        <f t="shared" si="13"/>
        <v>Fail</v>
      </c>
      <c r="N192" s="12" t="str">
        <f t="shared" si="14"/>
        <v>D</v>
      </c>
    </row>
    <row r="193" spans="1:14" x14ac:dyDescent="0.35">
      <c r="A193" s="1">
        <v>192</v>
      </c>
      <c r="B193" s="1" t="s">
        <v>203</v>
      </c>
      <c r="C193" s="1" t="s">
        <v>13</v>
      </c>
      <c r="D193" s="1">
        <v>13</v>
      </c>
      <c r="E193" s="1" t="s">
        <v>14</v>
      </c>
      <c r="F193" s="1">
        <v>39</v>
      </c>
      <c r="G193" s="1">
        <v>14</v>
      </c>
      <c r="H193" s="1">
        <v>77</v>
      </c>
      <c r="I193" s="1">
        <v>53</v>
      </c>
      <c r="J193" s="2">
        <f t="shared" si="10"/>
        <v>183</v>
      </c>
      <c r="K193" s="6">
        <f t="shared" si="11"/>
        <v>45.75</v>
      </c>
      <c r="L193" s="8">
        <f t="shared" si="12"/>
        <v>45.75</v>
      </c>
      <c r="M193" s="9" t="str">
        <f t="shared" si="13"/>
        <v>Fail</v>
      </c>
      <c r="N193" s="12" t="str">
        <f t="shared" si="14"/>
        <v>D</v>
      </c>
    </row>
    <row r="194" spans="1:14" x14ac:dyDescent="0.35">
      <c r="A194" s="1">
        <v>193</v>
      </c>
      <c r="B194" s="1" t="s">
        <v>204</v>
      </c>
      <c r="C194" s="1" t="s">
        <v>13</v>
      </c>
      <c r="D194" s="1">
        <v>15</v>
      </c>
      <c r="E194" s="1" t="s">
        <v>18</v>
      </c>
      <c r="F194" s="1">
        <v>50</v>
      </c>
      <c r="G194" s="1">
        <v>48</v>
      </c>
      <c r="H194" s="1">
        <v>13</v>
      </c>
      <c r="I194" s="1">
        <v>15</v>
      </c>
      <c r="J194" s="2">
        <f t="shared" si="10"/>
        <v>126</v>
      </c>
      <c r="K194" s="6">
        <f t="shared" si="11"/>
        <v>31.5</v>
      </c>
      <c r="L194" s="8">
        <f t="shared" si="12"/>
        <v>31.5</v>
      </c>
      <c r="M194" s="9" t="str">
        <f t="shared" si="13"/>
        <v>Fail</v>
      </c>
      <c r="N194" s="12" t="str">
        <f t="shared" si="14"/>
        <v>F</v>
      </c>
    </row>
    <row r="195" spans="1:14" x14ac:dyDescent="0.35">
      <c r="A195" s="1">
        <v>194</v>
      </c>
      <c r="B195" s="1" t="s">
        <v>205</v>
      </c>
      <c r="C195" s="1" t="s">
        <v>10</v>
      </c>
      <c r="D195" s="1">
        <v>13</v>
      </c>
      <c r="E195" s="1" t="s">
        <v>14</v>
      </c>
      <c r="F195" s="1">
        <v>48</v>
      </c>
      <c r="G195" s="1">
        <v>4</v>
      </c>
      <c r="H195" s="1">
        <v>79</v>
      </c>
      <c r="I195" s="1">
        <v>76</v>
      </c>
      <c r="J195" s="2">
        <f t="shared" ref="J195:J251" si="15">SUM(E195:I195)</f>
        <v>207</v>
      </c>
      <c r="K195" s="6">
        <f t="shared" ref="K195:K251" si="16">AVERAGE(F195:I195)</f>
        <v>51.75</v>
      </c>
      <c r="L195" s="8">
        <f t="shared" ref="L195:L251" si="17">(J195/400)*100</f>
        <v>51.749999999999993</v>
      </c>
      <c r="M195" s="9" t="str">
        <f t="shared" ref="M195:M251" si="18">IF(AND(F195&gt;=35,G195&gt;=35,H195&gt;=35,I195&gt;=35),"Pass","Fail")</f>
        <v>Fail</v>
      </c>
      <c r="N195" s="12" t="str">
        <f t="shared" ref="N195:N251" si="19">IF(L195&gt;=75,"A",IF(L195&gt;=60,"B",IF(L195&gt;=50,"C",IF(L195&gt;=35,"D","F"))))</f>
        <v>C</v>
      </c>
    </row>
    <row r="196" spans="1:14" x14ac:dyDescent="0.35">
      <c r="A196" s="1">
        <v>195</v>
      </c>
      <c r="B196" s="1" t="s">
        <v>206</v>
      </c>
      <c r="C196" s="1" t="s">
        <v>13</v>
      </c>
      <c r="D196" s="1">
        <v>15</v>
      </c>
      <c r="E196" s="1" t="s">
        <v>11</v>
      </c>
      <c r="F196" s="1">
        <v>13</v>
      </c>
      <c r="G196" s="1">
        <v>35</v>
      </c>
      <c r="H196" s="1">
        <v>71</v>
      </c>
      <c r="I196" s="1">
        <v>30</v>
      </c>
      <c r="J196" s="2">
        <f t="shared" si="15"/>
        <v>149</v>
      </c>
      <c r="K196" s="6">
        <f t="shared" si="16"/>
        <v>37.25</v>
      </c>
      <c r="L196" s="8">
        <f t="shared" si="17"/>
        <v>37.25</v>
      </c>
      <c r="M196" s="9" t="str">
        <f t="shared" si="18"/>
        <v>Fail</v>
      </c>
      <c r="N196" s="12" t="str">
        <f t="shared" si="19"/>
        <v>D</v>
      </c>
    </row>
    <row r="197" spans="1:14" x14ac:dyDescent="0.35">
      <c r="A197" s="1">
        <v>196</v>
      </c>
      <c r="B197" s="1" t="s">
        <v>207</v>
      </c>
      <c r="C197" s="1" t="s">
        <v>13</v>
      </c>
      <c r="D197" s="1">
        <v>14</v>
      </c>
      <c r="E197" s="1" t="s">
        <v>18</v>
      </c>
      <c r="F197" s="1">
        <v>92</v>
      </c>
      <c r="G197" s="1">
        <v>57</v>
      </c>
      <c r="H197" s="1">
        <v>31</v>
      </c>
      <c r="I197" s="1">
        <v>75</v>
      </c>
      <c r="J197" s="2">
        <f t="shared" si="15"/>
        <v>255</v>
      </c>
      <c r="K197" s="6">
        <f t="shared" si="16"/>
        <v>63.75</v>
      </c>
      <c r="L197" s="8">
        <f t="shared" si="17"/>
        <v>63.749999999999993</v>
      </c>
      <c r="M197" s="9" t="str">
        <f t="shared" si="18"/>
        <v>Fail</v>
      </c>
      <c r="N197" s="12" t="str">
        <f t="shared" si="19"/>
        <v>B</v>
      </c>
    </row>
    <row r="198" spans="1:14" x14ac:dyDescent="0.35">
      <c r="A198" s="1">
        <v>197</v>
      </c>
      <c r="B198" s="1" t="s">
        <v>208</v>
      </c>
      <c r="C198" s="1" t="s">
        <v>10</v>
      </c>
      <c r="D198" s="1">
        <v>14</v>
      </c>
      <c r="E198" s="1" t="s">
        <v>18</v>
      </c>
      <c r="F198" s="1">
        <v>82</v>
      </c>
      <c r="G198" s="1">
        <v>4</v>
      </c>
      <c r="H198" s="1">
        <v>56</v>
      </c>
      <c r="I198" s="1">
        <v>22</v>
      </c>
      <c r="J198" s="2">
        <f t="shared" si="15"/>
        <v>164</v>
      </c>
      <c r="K198" s="6">
        <f t="shared" si="16"/>
        <v>41</v>
      </c>
      <c r="L198" s="8">
        <f t="shared" si="17"/>
        <v>41</v>
      </c>
      <c r="M198" s="9" t="str">
        <f t="shared" si="18"/>
        <v>Fail</v>
      </c>
      <c r="N198" s="12" t="str">
        <f t="shared" si="19"/>
        <v>D</v>
      </c>
    </row>
    <row r="199" spans="1:14" x14ac:dyDescent="0.35">
      <c r="A199" s="1">
        <v>198</v>
      </c>
      <c r="B199" s="1" t="s">
        <v>209</v>
      </c>
      <c r="C199" s="1" t="s">
        <v>10</v>
      </c>
      <c r="D199" s="1">
        <v>14</v>
      </c>
      <c r="E199" s="1" t="s">
        <v>14</v>
      </c>
      <c r="F199" s="1">
        <v>98</v>
      </c>
      <c r="G199" s="1">
        <v>13</v>
      </c>
      <c r="H199" s="1">
        <v>35</v>
      </c>
      <c r="I199" s="1">
        <v>4</v>
      </c>
      <c r="J199" s="2">
        <f t="shared" si="15"/>
        <v>150</v>
      </c>
      <c r="K199" s="6">
        <f t="shared" si="16"/>
        <v>37.5</v>
      </c>
      <c r="L199" s="8">
        <f t="shared" si="17"/>
        <v>37.5</v>
      </c>
      <c r="M199" s="9" t="str">
        <f t="shared" si="18"/>
        <v>Fail</v>
      </c>
      <c r="N199" s="12" t="str">
        <f t="shared" si="19"/>
        <v>D</v>
      </c>
    </row>
    <row r="200" spans="1:14" x14ac:dyDescent="0.35">
      <c r="A200" s="1">
        <v>199</v>
      </c>
      <c r="B200" s="1" t="s">
        <v>210</v>
      </c>
      <c r="C200" s="1" t="s">
        <v>13</v>
      </c>
      <c r="D200" s="1">
        <v>14</v>
      </c>
      <c r="E200" s="1" t="s">
        <v>11</v>
      </c>
      <c r="F200" s="1">
        <v>30</v>
      </c>
      <c r="G200" s="1">
        <v>62</v>
      </c>
      <c r="H200" s="1">
        <v>32</v>
      </c>
      <c r="I200" s="1">
        <v>60</v>
      </c>
      <c r="J200" s="2">
        <f t="shared" si="15"/>
        <v>184</v>
      </c>
      <c r="K200" s="6">
        <f t="shared" si="16"/>
        <v>46</v>
      </c>
      <c r="L200" s="8">
        <f t="shared" si="17"/>
        <v>46</v>
      </c>
      <c r="M200" s="9" t="str">
        <f t="shared" si="18"/>
        <v>Fail</v>
      </c>
      <c r="N200" s="12" t="str">
        <f t="shared" si="19"/>
        <v>D</v>
      </c>
    </row>
    <row r="201" spans="1:14" x14ac:dyDescent="0.35">
      <c r="A201" s="1">
        <v>200</v>
      </c>
      <c r="B201" s="1" t="s">
        <v>210</v>
      </c>
      <c r="C201" s="1" t="s">
        <v>10</v>
      </c>
      <c r="D201" s="1">
        <v>15</v>
      </c>
      <c r="E201" s="1" t="s">
        <v>18</v>
      </c>
      <c r="F201" s="1">
        <v>57</v>
      </c>
      <c r="G201" s="1">
        <v>68</v>
      </c>
      <c r="H201" s="1">
        <v>56</v>
      </c>
      <c r="I201" s="1">
        <v>23</v>
      </c>
      <c r="J201" s="2">
        <f t="shared" si="15"/>
        <v>204</v>
      </c>
      <c r="K201" s="6">
        <f t="shared" si="16"/>
        <v>51</v>
      </c>
      <c r="L201" s="8">
        <f t="shared" si="17"/>
        <v>51</v>
      </c>
      <c r="M201" s="9" t="str">
        <f t="shared" si="18"/>
        <v>Fail</v>
      </c>
      <c r="N201" s="12" t="str">
        <f t="shared" si="19"/>
        <v>C</v>
      </c>
    </row>
    <row r="202" spans="1:14" x14ac:dyDescent="0.35">
      <c r="A202" s="1">
        <v>201</v>
      </c>
      <c r="B202" s="1" t="s">
        <v>211</v>
      </c>
      <c r="C202" s="1" t="s">
        <v>10</v>
      </c>
      <c r="D202" s="1">
        <v>15</v>
      </c>
      <c r="E202" s="1" t="s">
        <v>14</v>
      </c>
      <c r="F202" s="1">
        <v>84</v>
      </c>
      <c r="G202" s="1">
        <v>97</v>
      </c>
      <c r="H202" s="1">
        <v>88</v>
      </c>
      <c r="I202" s="1">
        <v>64</v>
      </c>
      <c r="J202" s="2">
        <f t="shared" si="15"/>
        <v>333</v>
      </c>
      <c r="K202" s="6">
        <f t="shared" si="16"/>
        <v>83.25</v>
      </c>
      <c r="L202" s="8">
        <f t="shared" si="17"/>
        <v>83.25</v>
      </c>
      <c r="M202" s="9" t="str">
        <f t="shared" si="18"/>
        <v>Pass</v>
      </c>
      <c r="N202" s="12" t="str">
        <f t="shared" si="19"/>
        <v>A</v>
      </c>
    </row>
    <row r="203" spans="1:14" x14ac:dyDescent="0.35">
      <c r="A203" s="1">
        <v>202</v>
      </c>
      <c r="B203" s="1" t="s">
        <v>212</v>
      </c>
      <c r="C203" s="1" t="s">
        <v>13</v>
      </c>
      <c r="D203" s="1">
        <v>14</v>
      </c>
      <c r="E203" s="1" t="s">
        <v>11</v>
      </c>
      <c r="F203" s="1">
        <v>89</v>
      </c>
      <c r="G203" s="1">
        <v>59</v>
      </c>
      <c r="H203" s="1">
        <v>33</v>
      </c>
      <c r="I203" s="1">
        <v>91</v>
      </c>
      <c r="J203" s="2">
        <f t="shared" si="15"/>
        <v>272</v>
      </c>
      <c r="K203" s="6">
        <f t="shared" si="16"/>
        <v>68</v>
      </c>
      <c r="L203" s="8">
        <f t="shared" si="17"/>
        <v>68</v>
      </c>
      <c r="M203" s="9" t="str">
        <f t="shared" si="18"/>
        <v>Fail</v>
      </c>
      <c r="N203" s="12" t="str">
        <f t="shared" si="19"/>
        <v>B</v>
      </c>
    </row>
    <row r="204" spans="1:14" x14ac:dyDescent="0.35">
      <c r="A204" s="1">
        <v>203</v>
      </c>
      <c r="B204" s="1" t="s">
        <v>213</v>
      </c>
      <c r="C204" s="1" t="s">
        <v>13</v>
      </c>
      <c r="D204" s="1">
        <v>14</v>
      </c>
      <c r="E204" s="1" t="s">
        <v>14</v>
      </c>
      <c r="F204" s="1">
        <v>45</v>
      </c>
      <c r="G204" s="1">
        <v>21</v>
      </c>
      <c r="H204" s="1">
        <v>61</v>
      </c>
      <c r="I204" s="1">
        <v>13</v>
      </c>
      <c r="J204" s="2">
        <f t="shared" si="15"/>
        <v>140</v>
      </c>
      <c r="K204" s="6">
        <f t="shared" si="16"/>
        <v>35</v>
      </c>
      <c r="L204" s="8">
        <f t="shared" si="17"/>
        <v>35</v>
      </c>
      <c r="M204" s="9" t="str">
        <f t="shared" si="18"/>
        <v>Fail</v>
      </c>
      <c r="N204" s="12" t="str">
        <f t="shared" si="19"/>
        <v>D</v>
      </c>
    </row>
    <row r="205" spans="1:14" x14ac:dyDescent="0.35">
      <c r="A205" s="1">
        <v>204</v>
      </c>
      <c r="B205" s="1" t="s">
        <v>214</v>
      </c>
      <c r="C205" s="1" t="s">
        <v>13</v>
      </c>
      <c r="D205" s="1">
        <v>14</v>
      </c>
      <c r="E205" s="1" t="s">
        <v>14</v>
      </c>
      <c r="F205" s="1">
        <v>84</v>
      </c>
      <c r="G205" s="1">
        <v>10</v>
      </c>
      <c r="H205" s="1">
        <v>71</v>
      </c>
      <c r="I205" s="1">
        <v>8</v>
      </c>
      <c r="J205" s="2">
        <f t="shared" si="15"/>
        <v>173</v>
      </c>
      <c r="K205" s="6">
        <f t="shared" si="16"/>
        <v>43.25</v>
      </c>
      <c r="L205" s="8">
        <f t="shared" si="17"/>
        <v>43.25</v>
      </c>
      <c r="M205" s="9" t="str">
        <f t="shared" si="18"/>
        <v>Fail</v>
      </c>
      <c r="N205" s="12" t="str">
        <f t="shared" si="19"/>
        <v>D</v>
      </c>
    </row>
    <row r="206" spans="1:14" x14ac:dyDescent="0.35">
      <c r="A206" s="1">
        <v>205</v>
      </c>
      <c r="B206" s="1" t="s">
        <v>215</v>
      </c>
      <c r="C206" s="1" t="s">
        <v>10</v>
      </c>
      <c r="D206" s="1">
        <v>13</v>
      </c>
      <c r="E206" s="1" t="s">
        <v>11</v>
      </c>
      <c r="F206" s="1">
        <v>7</v>
      </c>
      <c r="G206" s="1">
        <v>47</v>
      </c>
      <c r="H206" s="1">
        <v>39</v>
      </c>
      <c r="I206" s="1">
        <v>16</v>
      </c>
      <c r="J206" s="2">
        <f t="shared" si="15"/>
        <v>109</v>
      </c>
      <c r="K206" s="6">
        <f t="shared" si="16"/>
        <v>27.25</v>
      </c>
      <c r="L206" s="8">
        <f t="shared" si="17"/>
        <v>27.250000000000004</v>
      </c>
      <c r="M206" s="9" t="str">
        <f t="shared" si="18"/>
        <v>Fail</v>
      </c>
      <c r="N206" s="12" t="str">
        <f t="shared" si="19"/>
        <v>F</v>
      </c>
    </row>
    <row r="207" spans="1:14" x14ac:dyDescent="0.35">
      <c r="A207" s="1">
        <v>206</v>
      </c>
      <c r="B207" s="1" t="s">
        <v>216</v>
      </c>
      <c r="C207" s="1" t="s">
        <v>13</v>
      </c>
      <c r="D207" s="1">
        <v>15</v>
      </c>
      <c r="E207" s="1" t="s">
        <v>11</v>
      </c>
      <c r="F207" s="1">
        <v>54</v>
      </c>
      <c r="G207" s="1">
        <v>89</v>
      </c>
      <c r="H207" s="1">
        <v>59</v>
      </c>
      <c r="I207" s="1">
        <v>88</v>
      </c>
      <c r="J207" s="2">
        <f t="shared" si="15"/>
        <v>290</v>
      </c>
      <c r="K207" s="6">
        <f t="shared" si="16"/>
        <v>72.5</v>
      </c>
      <c r="L207" s="8">
        <f t="shared" si="17"/>
        <v>72.5</v>
      </c>
      <c r="M207" s="9" t="str">
        <f t="shared" si="18"/>
        <v>Pass</v>
      </c>
      <c r="N207" s="12" t="str">
        <f t="shared" si="19"/>
        <v>B</v>
      </c>
    </row>
    <row r="208" spans="1:14" x14ac:dyDescent="0.35">
      <c r="A208" s="1">
        <v>207</v>
      </c>
      <c r="B208" s="1" t="s">
        <v>217</v>
      </c>
      <c r="C208" s="1" t="s">
        <v>13</v>
      </c>
      <c r="D208" s="1">
        <v>14</v>
      </c>
      <c r="E208" s="1" t="s">
        <v>11</v>
      </c>
      <c r="F208" s="1">
        <v>49</v>
      </c>
      <c r="G208" s="1">
        <v>48</v>
      </c>
      <c r="H208" s="1">
        <v>81</v>
      </c>
      <c r="I208" s="1">
        <v>44</v>
      </c>
      <c r="J208" s="2">
        <f t="shared" si="15"/>
        <v>222</v>
      </c>
      <c r="K208" s="6">
        <f t="shared" si="16"/>
        <v>55.5</v>
      </c>
      <c r="L208" s="8">
        <f t="shared" si="17"/>
        <v>55.500000000000007</v>
      </c>
      <c r="M208" s="9" t="str">
        <f t="shared" si="18"/>
        <v>Pass</v>
      </c>
      <c r="N208" s="12" t="str">
        <f t="shared" si="19"/>
        <v>C</v>
      </c>
    </row>
    <row r="209" spans="1:14" x14ac:dyDescent="0.35">
      <c r="A209" s="1">
        <v>208</v>
      </c>
      <c r="B209" s="1" t="s">
        <v>218</v>
      </c>
      <c r="C209" s="1" t="s">
        <v>13</v>
      </c>
      <c r="D209" s="1">
        <v>13</v>
      </c>
      <c r="E209" s="1" t="s">
        <v>18</v>
      </c>
      <c r="F209" s="1">
        <v>56</v>
      </c>
      <c r="G209" s="1">
        <v>12</v>
      </c>
      <c r="H209" s="1">
        <v>75</v>
      </c>
      <c r="I209" s="1">
        <v>96</v>
      </c>
      <c r="J209" s="2">
        <f t="shared" si="15"/>
        <v>239</v>
      </c>
      <c r="K209" s="6">
        <f t="shared" si="16"/>
        <v>59.75</v>
      </c>
      <c r="L209" s="8">
        <f t="shared" si="17"/>
        <v>59.75</v>
      </c>
      <c r="M209" s="9" t="str">
        <f t="shared" si="18"/>
        <v>Fail</v>
      </c>
      <c r="N209" s="12" t="str">
        <f t="shared" si="19"/>
        <v>C</v>
      </c>
    </row>
    <row r="210" spans="1:14" x14ac:dyDescent="0.35">
      <c r="A210" s="1">
        <v>209</v>
      </c>
      <c r="B210" s="1" t="s">
        <v>219</v>
      </c>
      <c r="C210" s="1" t="s">
        <v>10</v>
      </c>
      <c r="D210" s="1">
        <v>14</v>
      </c>
      <c r="E210" s="1" t="s">
        <v>11</v>
      </c>
      <c r="F210" s="1">
        <v>59</v>
      </c>
      <c r="G210" s="1">
        <v>94</v>
      </c>
      <c r="H210" s="1">
        <v>94</v>
      </c>
      <c r="I210" s="1">
        <v>47</v>
      </c>
      <c r="J210" s="2">
        <f t="shared" si="15"/>
        <v>294</v>
      </c>
      <c r="K210" s="6">
        <f t="shared" si="16"/>
        <v>73.5</v>
      </c>
      <c r="L210" s="8">
        <f t="shared" si="17"/>
        <v>73.5</v>
      </c>
      <c r="M210" s="9" t="str">
        <f t="shared" si="18"/>
        <v>Pass</v>
      </c>
      <c r="N210" s="12" t="str">
        <f t="shared" si="19"/>
        <v>B</v>
      </c>
    </row>
    <row r="211" spans="1:14" x14ac:dyDescent="0.35">
      <c r="A211" s="1">
        <v>210</v>
      </c>
      <c r="B211" s="1" t="s">
        <v>220</v>
      </c>
      <c r="C211" s="1" t="s">
        <v>13</v>
      </c>
      <c r="D211" s="1">
        <v>13</v>
      </c>
      <c r="E211" s="1" t="s">
        <v>18</v>
      </c>
      <c r="F211" s="1">
        <v>7</v>
      </c>
      <c r="G211" s="1">
        <v>29</v>
      </c>
      <c r="H211" s="1">
        <v>30</v>
      </c>
      <c r="I211" s="1">
        <v>23</v>
      </c>
      <c r="J211" s="2">
        <f t="shared" si="15"/>
        <v>89</v>
      </c>
      <c r="K211" s="6">
        <f t="shared" si="16"/>
        <v>22.25</v>
      </c>
      <c r="L211" s="8">
        <f t="shared" si="17"/>
        <v>22.25</v>
      </c>
      <c r="M211" s="9" t="str">
        <f t="shared" si="18"/>
        <v>Fail</v>
      </c>
      <c r="N211" s="12" t="str">
        <f t="shared" si="19"/>
        <v>F</v>
      </c>
    </row>
    <row r="212" spans="1:14" x14ac:dyDescent="0.35">
      <c r="A212" s="1">
        <v>211</v>
      </c>
      <c r="B212" s="1" t="s">
        <v>221</v>
      </c>
      <c r="C212" s="1" t="s">
        <v>13</v>
      </c>
      <c r="D212" s="1">
        <v>14</v>
      </c>
      <c r="E212" s="1" t="s">
        <v>18</v>
      </c>
      <c r="F212" s="1">
        <v>28</v>
      </c>
      <c r="G212" s="1">
        <v>30</v>
      </c>
      <c r="H212" s="1">
        <v>80</v>
      </c>
      <c r="I212" s="1">
        <v>33</v>
      </c>
      <c r="J212" s="2">
        <f t="shared" si="15"/>
        <v>171</v>
      </c>
      <c r="K212" s="6">
        <f t="shared" si="16"/>
        <v>42.75</v>
      </c>
      <c r="L212" s="8">
        <f t="shared" si="17"/>
        <v>42.75</v>
      </c>
      <c r="M212" s="9" t="str">
        <f t="shared" si="18"/>
        <v>Fail</v>
      </c>
      <c r="N212" s="12" t="str">
        <f t="shared" si="19"/>
        <v>D</v>
      </c>
    </row>
    <row r="213" spans="1:14" x14ac:dyDescent="0.35">
      <c r="A213" s="1">
        <v>212</v>
      </c>
      <c r="B213" s="1" t="s">
        <v>222</v>
      </c>
      <c r="C213" s="1" t="s">
        <v>13</v>
      </c>
      <c r="D213" s="1">
        <v>15</v>
      </c>
      <c r="E213" s="1" t="s">
        <v>18</v>
      </c>
      <c r="F213" s="1">
        <v>85</v>
      </c>
      <c r="G213" s="1">
        <v>8</v>
      </c>
      <c r="H213" s="1">
        <v>88</v>
      </c>
      <c r="I213" s="1">
        <v>82</v>
      </c>
      <c r="J213" s="2">
        <f t="shared" si="15"/>
        <v>263</v>
      </c>
      <c r="K213" s="6">
        <f t="shared" si="16"/>
        <v>65.75</v>
      </c>
      <c r="L213" s="8">
        <f t="shared" si="17"/>
        <v>65.75</v>
      </c>
      <c r="M213" s="9" t="str">
        <f t="shared" si="18"/>
        <v>Fail</v>
      </c>
      <c r="N213" s="12" t="str">
        <f t="shared" si="19"/>
        <v>B</v>
      </c>
    </row>
    <row r="214" spans="1:14" x14ac:dyDescent="0.35">
      <c r="A214" s="1">
        <v>213</v>
      </c>
      <c r="B214" s="1" t="s">
        <v>223</v>
      </c>
      <c r="C214" s="1" t="s">
        <v>13</v>
      </c>
      <c r="D214" s="1">
        <v>15</v>
      </c>
      <c r="E214" s="1" t="s">
        <v>11</v>
      </c>
      <c r="F214" s="1">
        <v>63</v>
      </c>
      <c r="G214" s="1">
        <v>92</v>
      </c>
      <c r="H214" s="1">
        <v>38</v>
      </c>
      <c r="I214" s="1">
        <v>60</v>
      </c>
      <c r="J214" s="2">
        <f t="shared" si="15"/>
        <v>253</v>
      </c>
      <c r="K214" s="6">
        <f t="shared" si="16"/>
        <v>63.25</v>
      </c>
      <c r="L214" s="8">
        <f t="shared" si="17"/>
        <v>63.249999999999993</v>
      </c>
      <c r="M214" s="9" t="str">
        <f t="shared" si="18"/>
        <v>Pass</v>
      </c>
      <c r="N214" s="12" t="str">
        <f t="shared" si="19"/>
        <v>B</v>
      </c>
    </row>
    <row r="215" spans="1:14" x14ac:dyDescent="0.35">
      <c r="A215" s="1">
        <v>214</v>
      </c>
      <c r="B215" s="1" t="s">
        <v>224</v>
      </c>
      <c r="C215" s="1" t="s">
        <v>10</v>
      </c>
      <c r="D215" s="1">
        <v>15</v>
      </c>
      <c r="E215" s="1" t="s">
        <v>18</v>
      </c>
      <c r="F215" s="1">
        <v>87</v>
      </c>
      <c r="G215" s="1">
        <v>17</v>
      </c>
      <c r="H215" s="1">
        <v>94</v>
      </c>
      <c r="I215" s="1">
        <v>41</v>
      </c>
      <c r="J215" s="2">
        <f t="shared" si="15"/>
        <v>239</v>
      </c>
      <c r="K215" s="6">
        <f t="shared" si="16"/>
        <v>59.75</v>
      </c>
      <c r="L215" s="8">
        <f t="shared" si="17"/>
        <v>59.75</v>
      </c>
      <c r="M215" s="9" t="str">
        <f t="shared" si="18"/>
        <v>Fail</v>
      </c>
      <c r="N215" s="12" t="str">
        <f t="shared" si="19"/>
        <v>C</v>
      </c>
    </row>
    <row r="216" spans="1:14" x14ac:dyDescent="0.35">
      <c r="A216" s="1">
        <v>215</v>
      </c>
      <c r="B216" s="1" t="s">
        <v>225</v>
      </c>
      <c r="C216" s="1" t="s">
        <v>13</v>
      </c>
      <c r="D216" s="1">
        <v>13</v>
      </c>
      <c r="E216" s="1" t="s">
        <v>11</v>
      </c>
      <c r="F216" s="1">
        <v>68</v>
      </c>
      <c r="G216" s="1">
        <v>79</v>
      </c>
      <c r="H216" s="1">
        <v>71</v>
      </c>
      <c r="I216" s="1">
        <v>41</v>
      </c>
      <c r="J216" s="2">
        <f t="shared" si="15"/>
        <v>259</v>
      </c>
      <c r="K216" s="6">
        <f t="shared" si="16"/>
        <v>64.75</v>
      </c>
      <c r="L216" s="8">
        <f t="shared" si="17"/>
        <v>64.75</v>
      </c>
      <c r="M216" s="9" t="str">
        <f t="shared" si="18"/>
        <v>Pass</v>
      </c>
      <c r="N216" s="12" t="str">
        <f t="shared" si="19"/>
        <v>B</v>
      </c>
    </row>
    <row r="217" spans="1:14" x14ac:dyDescent="0.35">
      <c r="A217" s="1">
        <v>216</v>
      </c>
      <c r="B217" s="1" t="s">
        <v>226</v>
      </c>
      <c r="C217" s="1" t="s">
        <v>13</v>
      </c>
      <c r="D217" s="1">
        <v>15</v>
      </c>
      <c r="E217" s="1" t="s">
        <v>18</v>
      </c>
      <c r="F217" s="1">
        <v>5</v>
      </c>
      <c r="G217" s="1">
        <v>86</v>
      </c>
      <c r="H217" s="1">
        <v>48</v>
      </c>
      <c r="I217" s="1">
        <v>57</v>
      </c>
      <c r="J217" s="2">
        <f t="shared" si="15"/>
        <v>196</v>
      </c>
      <c r="K217" s="6">
        <f t="shared" si="16"/>
        <v>49</v>
      </c>
      <c r="L217" s="8">
        <f t="shared" si="17"/>
        <v>49</v>
      </c>
      <c r="M217" s="9" t="str">
        <f t="shared" si="18"/>
        <v>Fail</v>
      </c>
      <c r="N217" s="12" t="str">
        <f t="shared" si="19"/>
        <v>D</v>
      </c>
    </row>
    <row r="218" spans="1:14" x14ac:dyDescent="0.35">
      <c r="A218" s="1">
        <v>217</v>
      </c>
      <c r="B218" s="1" t="s">
        <v>227</v>
      </c>
      <c r="C218" s="1" t="s">
        <v>10</v>
      </c>
      <c r="D218" s="1">
        <v>14</v>
      </c>
      <c r="E218" s="1" t="s">
        <v>18</v>
      </c>
      <c r="F218" s="1">
        <v>71</v>
      </c>
      <c r="G218" s="1">
        <v>88</v>
      </c>
      <c r="H218" s="1">
        <v>44</v>
      </c>
      <c r="I218" s="1">
        <v>13</v>
      </c>
      <c r="J218" s="2">
        <f t="shared" si="15"/>
        <v>216</v>
      </c>
      <c r="K218" s="6">
        <f t="shared" si="16"/>
        <v>54</v>
      </c>
      <c r="L218" s="8">
        <f t="shared" si="17"/>
        <v>54</v>
      </c>
      <c r="M218" s="9" t="str">
        <f t="shared" si="18"/>
        <v>Fail</v>
      </c>
      <c r="N218" s="12" t="str">
        <f t="shared" si="19"/>
        <v>C</v>
      </c>
    </row>
    <row r="219" spans="1:14" x14ac:dyDescent="0.35">
      <c r="A219" s="1">
        <v>218</v>
      </c>
      <c r="B219" s="1" t="s">
        <v>228</v>
      </c>
      <c r="C219" s="1" t="s">
        <v>13</v>
      </c>
      <c r="D219" s="1">
        <v>13</v>
      </c>
      <c r="E219" s="1" t="s">
        <v>14</v>
      </c>
      <c r="F219" s="1">
        <v>72</v>
      </c>
      <c r="G219" s="1">
        <v>46</v>
      </c>
      <c r="H219" s="1">
        <v>40</v>
      </c>
      <c r="I219" s="1">
        <v>90</v>
      </c>
      <c r="J219" s="2">
        <f t="shared" si="15"/>
        <v>248</v>
      </c>
      <c r="K219" s="6">
        <f t="shared" si="16"/>
        <v>62</v>
      </c>
      <c r="L219" s="8">
        <f t="shared" si="17"/>
        <v>62</v>
      </c>
      <c r="M219" s="9" t="str">
        <f t="shared" si="18"/>
        <v>Pass</v>
      </c>
      <c r="N219" s="12" t="str">
        <f t="shared" si="19"/>
        <v>B</v>
      </c>
    </row>
    <row r="220" spans="1:14" x14ac:dyDescent="0.35">
      <c r="A220" s="1">
        <v>219</v>
      </c>
      <c r="B220" s="1" t="s">
        <v>229</v>
      </c>
      <c r="C220" s="1" t="s">
        <v>13</v>
      </c>
      <c r="D220" s="1">
        <v>14</v>
      </c>
      <c r="E220" s="1" t="s">
        <v>11</v>
      </c>
      <c r="F220" s="1">
        <v>58</v>
      </c>
      <c r="G220" s="1">
        <v>60</v>
      </c>
      <c r="H220" s="1">
        <v>7</v>
      </c>
      <c r="I220" s="1">
        <v>90</v>
      </c>
      <c r="J220" s="2">
        <f t="shared" si="15"/>
        <v>215</v>
      </c>
      <c r="K220" s="6">
        <f t="shared" si="16"/>
        <v>53.75</v>
      </c>
      <c r="L220" s="8">
        <f t="shared" si="17"/>
        <v>53.75</v>
      </c>
      <c r="M220" s="9" t="str">
        <f t="shared" si="18"/>
        <v>Fail</v>
      </c>
      <c r="N220" s="12" t="str">
        <f t="shared" si="19"/>
        <v>C</v>
      </c>
    </row>
    <row r="221" spans="1:14" x14ac:dyDescent="0.35">
      <c r="A221" s="1">
        <v>220</v>
      </c>
      <c r="B221" s="1" t="s">
        <v>230</v>
      </c>
      <c r="C221" s="1" t="s">
        <v>13</v>
      </c>
      <c r="D221" s="1">
        <v>13</v>
      </c>
      <c r="E221" s="1" t="s">
        <v>14</v>
      </c>
      <c r="F221" s="1">
        <v>81</v>
      </c>
      <c r="G221" s="1">
        <v>63</v>
      </c>
      <c r="H221" s="1">
        <v>16</v>
      </c>
      <c r="I221" s="1">
        <v>62</v>
      </c>
      <c r="J221" s="2">
        <f t="shared" si="15"/>
        <v>222</v>
      </c>
      <c r="K221" s="6">
        <f t="shared" si="16"/>
        <v>55.5</v>
      </c>
      <c r="L221" s="8">
        <f t="shared" si="17"/>
        <v>55.500000000000007</v>
      </c>
      <c r="M221" s="9" t="str">
        <f t="shared" si="18"/>
        <v>Fail</v>
      </c>
      <c r="N221" s="12" t="str">
        <f t="shared" si="19"/>
        <v>C</v>
      </c>
    </row>
    <row r="222" spans="1:14" x14ac:dyDescent="0.35">
      <c r="A222" s="1">
        <v>221</v>
      </c>
      <c r="B222" s="1" t="s">
        <v>231</v>
      </c>
      <c r="C222" s="1" t="s">
        <v>13</v>
      </c>
      <c r="D222" s="1">
        <v>14</v>
      </c>
      <c r="E222" s="1" t="s">
        <v>18</v>
      </c>
      <c r="F222" s="1">
        <v>6</v>
      </c>
      <c r="G222" s="1">
        <v>53</v>
      </c>
      <c r="H222" s="1">
        <v>71</v>
      </c>
      <c r="I222" s="1">
        <v>21</v>
      </c>
      <c r="J222" s="2">
        <f t="shared" si="15"/>
        <v>151</v>
      </c>
      <c r="K222" s="6">
        <f t="shared" si="16"/>
        <v>37.75</v>
      </c>
      <c r="L222" s="8">
        <f t="shared" si="17"/>
        <v>37.75</v>
      </c>
      <c r="M222" s="9" t="str">
        <f t="shared" si="18"/>
        <v>Fail</v>
      </c>
      <c r="N222" s="12" t="str">
        <f t="shared" si="19"/>
        <v>D</v>
      </c>
    </row>
    <row r="223" spans="1:14" x14ac:dyDescent="0.35">
      <c r="A223" s="1">
        <v>222</v>
      </c>
      <c r="B223" s="1" t="s">
        <v>232</v>
      </c>
      <c r="C223" s="1" t="s">
        <v>10</v>
      </c>
      <c r="D223" s="1">
        <v>13</v>
      </c>
      <c r="E223" s="1" t="s">
        <v>18</v>
      </c>
      <c r="F223" s="1">
        <v>60</v>
      </c>
      <c r="G223" s="1">
        <v>52</v>
      </c>
      <c r="H223" s="1">
        <v>85</v>
      </c>
      <c r="I223" s="1">
        <v>39</v>
      </c>
      <c r="J223" s="2">
        <f t="shared" si="15"/>
        <v>236</v>
      </c>
      <c r="K223" s="6">
        <f t="shared" si="16"/>
        <v>59</v>
      </c>
      <c r="L223" s="8">
        <f t="shared" si="17"/>
        <v>59</v>
      </c>
      <c r="M223" s="9" t="str">
        <f t="shared" si="18"/>
        <v>Pass</v>
      </c>
      <c r="N223" s="12" t="str">
        <f t="shared" si="19"/>
        <v>C</v>
      </c>
    </row>
    <row r="224" spans="1:14" x14ac:dyDescent="0.35">
      <c r="A224" s="1">
        <v>223</v>
      </c>
      <c r="B224" s="1" t="s">
        <v>233</v>
      </c>
      <c r="C224" s="1" t="s">
        <v>10</v>
      </c>
      <c r="D224" s="1">
        <v>15</v>
      </c>
      <c r="E224" s="1" t="s">
        <v>14</v>
      </c>
      <c r="F224" s="1">
        <v>92</v>
      </c>
      <c r="G224" s="1">
        <v>76</v>
      </c>
      <c r="H224" s="1">
        <v>72</v>
      </c>
      <c r="I224" s="1">
        <v>71</v>
      </c>
      <c r="J224" s="2">
        <f t="shared" si="15"/>
        <v>311</v>
      </c>
      <c r="K224" s="6">
        <f t="shared" si="16"/>
        <v>77.75</v>
      </c>
      <c r="L224" s="8">
        <f t="shared" si="17"/>
        <v>77.75</v>
      </c>
      <c r="M224" s="9" t="str">
        <f t="shared" si="18"/>
        <v>Pass</v>
      </c>
      <c r="N224" s="12" t="str">
        <f t="shared" si="19"/>
        <v>A</v>
      </c>
    </row>
    <row r="225" spans="1:14" x14ac:dyDescent="0.35">
      <c r="A225" s="1">
        <v>224</v>
      </c>
      <c r="B225" s="1" t="s">
        <v>234</v>
      </c>
      <c r="C225" s="1" t="s">
        <v>10</v>
      </c>
      <c r="D225" s="1">
        <v>13</v>
      </c>
      <c r="E225" s="1" t="s">
        <v>18</v>
      </c>
      <c r="F225" s="1">
        <v>100</v>
      </c>
      <c r="G225" s="1">
        <v>95</v>
      </c>
      <c r="H225" s="1">
        <v>36</v>
      </c>
      <c r="I225" s="1">
        <v>10</v>
      </c>
      <c r="J225" s="2">
        <f t="shared" si="15"/>
        <v>241</v>
      </c>
      <c r="K225" s="6">
        <f t="shared" si="16"/>
        <v>60.25</v>
      </c>
      <c r="L225" s="8">
        <f t="shared" si="17"/>
        <v>60.25</v>
      </c>
      <c r="M225" s="9" t="str">
        <f t="shared" si="18"/>
        <v>Fail</v>
      </c>
      <c r="N225" s="12" t="str">
        <f t="shared" si="19"/>
        <v>B</v>
      </c>
    </row>
    <row r="226" spans="1:14" x14ac:dyDescent="0.35">
      <c r="A226" s="1">
        <v>225</v>
      </c>
      <c r="B226" s="1" t="s">
        <v>235</v>
      </c>
      <c r="C226" s="1" t="s">
        <v>10</v>
      </c>
      <c r="D226" s="1">
        <v>13</v>
      </c>
      <c r="E226" s="1" t="s">
        <v>11</v>
      </c>
      <c r="F226" s="1">
        <v>84</v>
      </c>
      <c r="G226" s="1">
        <v>10</v>
      </c>
      <c r="H226" s="1">
        <v>82</v>
      </c>
      <c r="I226" s="1">
        <v>93</v>
      </c>
      <c r="J226" s="2">
        <f t="shared" si="15"/>
        <v>269</v>
      </c>
      <c r="K226" s="6">
        <f t="shared" si="16"/>
        <v>67.25</v>
      </c>
      <c r="L226" s="8">
        <f t="shared" si="17"/>
        <v>67.25</v>
      </c>
      <c r="M226" s="9" t="str">
        <f t="shared" si="18"/>
        <v>Fail</v>
      </c>
      <c r="N226" s="12" t="str">
        <f t="shared" si="19"/>
        <v>B</v>
      </c>
    </row>
    <row r="227" spans="1:14" x14ac:dyDescent="0.35">
      <c r="A227" s="1">
        <v>226</v>
      </c>
      <c r="B227" s="1" t="s">
        <v>236</v>
      </c>
      <c r="C227" s="1" t="s">
        <v>10</v>
      </c>
      <c r="D227" s="1">
        <v>15</v>
      </c>
      <c r="E227" s="1" t="s">
        <v>14</v>
      </c>
      <c r="F227" s="1">
        <v>16</v>
      </c>
      <c r="G227" s="1">
        <v>4</v>
      </c>
      <c r="H227" s="1">
        <v>49</v>
      </c>
      <c r="I227" s="1">
        <v>1</v>
      </c>
      <c r="J227" s="2">
        <f t="shared" si="15"/>
        <v>70</v>
      </c>
      <c r="K227" s="6">
        <f t="shared" si="16"/>
        <v>17.5</v>
      </c>
      <c r="L227" s="8">
        <f t="shared" si="17"/>
        <v>17.5</v>
      </c>
      <c r="M227" s="9" t="str">
        <f t="shared" si="18"/>
        <v>Fail</v>
      </c>
      <c r="N227" s="12" t="str">
        <f t="shared" si="19"/>
        <v>F</v>
      </c>
    </row>
    <row r="228" spans="1:14" x14ac:dyDescent="0.35">
      <c r="A228" s="1">
        <v>227</v>
      </c>
      <c r="B228" s="1" t="s">
        <v>237</v>
      </c>
      <c r="C228" s="1" t="s">
        <v>10</v>
      </c>
      <c r="D228" s="1">
        <v>14</v>
      </c>
      <c r="E228" s="1" t="s">
        <v>11</v>
      </c>
      <c r="F228" s="1">
        <v>22</v>
      </c>
      <c r="G228" s="1">
        <v>26</v>
      </c>
      <c r="H228" s="1">
        <v>1</v>
      </c>
      <c r="I228" s="1">
        <v>28</v>
      </c>
      <c r="J228" s="2">
        <f t="shared" si="15"/>
        <v>77</v>
      </c>
      <c r="K228" s="6">
        <f t="shared" si="16"/>
        <v>19.25</v>
      </c>
      <c r="L228" s="8">
        <f t="shared" si="17"/>
        <v>19.25</v>
      </c>
      <c r="M228" s="9" t="str">
        <f t="shared" si="18"/>
        <v>Fail</v>
      </c>
      <c r="N228" s="12" t="str">
        <f t="shared" si="19"/>
        <v>F</v>
      </c>
    </row>
    <row r="229" spans="1:14" x14ac:dyDescent="0.35">
      <c r="A229" s="1">
        <v>228</v>
      </c>
      <c r="B229" s="1" t="s">
        <v>238</v>
      </c>
      <c r="C229" s="1" t="s">
        <v>10</v>
      </c>
      <c r="D229" s="1">
        <v>14</v>
      </c>
      <c r="E229" s="1" t="s">
        <v>14</v>
      </c>
      <c r="F229" s="1">
        <v>78</v>
      </c>
      <c r="G229" s="1">
        <v>63</v>
      </c>
      <c r="H229" s="1">
        <v>62</v>
      </c>
      <c r="I229" s="1">
        <v>38</v>
      </c>
      <c r="J229" s="2">
        <f t="shared" si="15"/>
        <v>241</v>
      </c>
      <c r="K229" s="6">
        <f t="shared" si="16"/>
        <v>60.25</v>
      </c>
      <c r="L229" s="8">
        <f t="shared" si="17"/>
        <v>60.25</v>
      </c>
      <c r="M229" s="9" t="str">
        <f t="shared" si="18"/>
        <v>Pass</v>
      </c>
      <c r="N229" s="12" t="str">
        <f t="shared" si="19"/>
        <v>B</v>
      </c>
    </row>
    <row r="230" spans="1:14" x14ac:dyDescent="0.35">
      <c r="A230" s="1">
        <v>229</v>
      </c>
      <c r="B230" s="1" t="s">
        <v>239</v>
      </c>
      <c r="C230" s="1" t="s">
        <v>10</v>
      </c>
      <c r="D230" s="1">
        <v>14</v>
      </c>
      <c r="E230" s="1" t="s">
        <v>11</v>
      </c>
      <c r="F230" s="1">
        <v>4</v>
      </c>
      <c r="G230" s="1">
        <v>15</v>
      </c>
      <c r="H230" s="1">
        <v>6</v>
      </c>
      <c r="I230" s="1">
        <v>32</v>
      </c>
      <c r="J230" s="2">
        <f t="shared" si="15"/>
        <v>57</v>
      </c>
      <c r="K230" s="6">
        <f t="shared" si="16"/>
        <v>14.25</v>
      </c>
      <c r="L230" s="8">
        <f t="shared" si="17"/>
        <v>14.249999999999998</v>
      </c>
      <c r="M230" s="9" t="str">
        <f t="shared" si="18"/>
        <v>Fail</v>
      </c>
      <c r="N230" s="12" t="str">
        <f t="shared" si="19"/>
        <v>F</v>
      </c>
    </row>
    <row r="231" spans="1:14" x14ac:dyDescent="0.35">
      <c r="A231" s="1">
        <v>230</v>
      </c>
      <c r="B231" s="1" t="s">
        <v>240</v>
      </c>
      <c r="C231" s="1" t="s">
        <v>13</v>
      </c>
      <c r="D231" s="1">
        <v>15</v>
      </c>
      <c r="E231" s="1" t="s">
        <v>11</v>
      </c>
      <c r="F231" s="1">
        <v>15</v>
      </c>
      <c r="G231" s="1">
        <v>26</v>
      </c>
      <c r="H231" s="1">
        <v>83</v>
      </c>
      <c r="I231" s="1">
        <v>75</v>
      </c>
      <c r="J231" s="2">
        <f t="shared" si="15"/>
        <v>199</v>
      </c>
      <c r="K231" s="6">
        <f t="shared" si="16"/>
        <v>49.75</v>
      </c>
      <c r="L231" s="8">
        <f t="shared" si="17"/>
        <v>49.75</v>
      </c>
      <c r="M231" s="9" t="str">
        <f t="shared" si="18"/>
        <v>Fail</v>
      </c>
      <c r="N231" s="12" t="str">
        <f t="shared" si="19"/>
        <v>D</v>
      </c>
    </row>
    <row r="232" spans="1:14" x14ac:dyDescent="0.35">
      <c r="A232" s="1">
        <v>231</v>
      </c>
      <c r="B232" s="1" t="s">
        <v>241</v>
      </c>
      <c r="C232" s="1" t="s">
        <v>13</v>
      </c>
      <c r="D232" s="1">
        <v>15</v>
      </c>
      <c r="E232" s="1" t="s">
        <v>14</v>
      </c>
      <c r="F232" s="1">
        <v>50</v>
      </c>
      <c r="G232" s="1">
        <v>70</v>
      </c>
      <c r="H232" s="1">
        <v>31</v>
      </c>
      <c r="I232" s="1">
        <v>98</v>
      </c>
      <c r="J232" s="2">
        <f t="shared" si="15"/>
        <v>249</v>
      </c>
      <c r="K232" s="6">
        <f t="shared" si="16"/>
        <v>62.25</v>
      </c>
      <c r="L232" s="8">
        <f t="shared" si="17"/>
        <v>62.250000000000007</v>
      </c>
      <c r="M232" s="9" t="str">
        <f t="shared" si="18"/>
        <v>Fail</v>
      </c>
      <c r="N232" s="12" t="str">
        <f t="shared" si="19"/>
        <v>B</v>
      </c>
    </row>
    <row r="233" spans="1:14" x14ac:dyDescent="0.35">
      <c r="A233" s="1">
        <v>232</v>
      </c>
      <c r="B233" s="1" t="s">
        <v>242</v>
      </c>
      <c r="C233" s="1" t="s">
        <v>13</v>
      </c>
      <c r="D233" s="1">
        <v>13</v>
      </c>
      <c r="E233" s="1" t="s">
        <v>18</v>
      </c>
      <c r="F233" s="1">
        <v>81</v>
      </c>
      <c r="G233" s="1">
        <v>45</v>
      </c>
      <c r="H233" s="1">
        <v>22</v>
      </c>
      <c r="I233" s="1">
        <v>36</v>
      </c>
      <c r="J233" s="2">
        <f t="shared" si="15"/>
        <v>184</v>
      </c>
      <c r="K233" s="6">
        <f t="shared" si="16"/>
        <v>46</v>
      </c>
      <c r="L233" s="8">
        <f t="shared" si="17"/>
        <v>46</v>
      </c>
      <c r="M233" s="9" t="str">
        <f t="shared" si="18"/>
        <v>Fail</v>
      </c>
      <c r="N233" s="12" t="str">
        <f t="shared" si="19"/>
        <v>D</v>
      </c>
    </row>
    <row r="234" spans="1:14" x14ac:dyDescent="0.35">
      <c r="A234" s="1">
        <v>233</v>
      </c>
      <c r="B234" s="1" t="s">
        <v>243</v>
      </c>
      <c r="C234" s="1" t="s">
        <v>13</v>
      </c>
      <c r="D234" s="1">
        <v>14</v>
      </c>
      <c r="E234" s="1" t="s">
        <v>14</v>
      </c>
      <c r="F234" s="1">
        <v>65</v>
      </c>
      <c r="G234" s="1">
        <v>32</v>
      </c>
      <c r="H234" s="1">
        <v>67</v>
      </c>
      <c r="I234" s="1">
        <v>35</v>
      </c>
      <c r="J234" s="2">
        <f t="shared" si="15"/>
        <v>199</v>
      </c>
      <c r="K234" s="6">
        <f t="shared" si="16"/>
        <v>49.75</v>
      </c>
      <c r="L234" s="8">
        <f t="shared" si="17"/>
        <v>49.75</v>
      </c>
      <c r="M234" s="9" t="str">
        <f t="shared" si="18"/>
        <v>Fail</v>
      </c>
      <c r="N234" s="12" t="str">
        <f t="shared" si="19"/>
        <v>D</v>
      </c>
    </row>
    <row r="235" spans="1:14" x14ac:dyDescent="0.35">
      <c r="A235" s="1">
        <v>234</v>
      </c>
      <c r="B235" s="1" t="s">
        <v>244</v>
      </c>
      <c r="C235" s="1" t="s">
        <v>13</v>
      </c>
      <c r="D235" s="1">
        <v>15</v>
      </c>
      <c r="E235" s="1" t="s">
        <v>11</v>
      </c>
      <c r="F235" s="1">
        <v>91</v>
      </c>
      <c r="G235" s="1">
        <v>33</v>
      </c>
      <c r="H235" s="1">
        <v>71</v>
      </c>
      <c r="I235" s="1">
        <v>81</v>
      </c>
      <c r="J235" s="2">
        <f t="shared" si="15"/>
        <v>276</v>
      </c>
      <c r="K235" s="6">
        <f t="shared" si="16"/>
        <v>69</v>
      </c>
      <c r="L235" s="8">
        <f t="shared" si="17"/>
        <v>69</v>
      </c>
      <c r="M235" s="9" t="str">
        <f t="shared" si="18"/>
        <v>Fail</v>
      </c>
      <c r="N235" s="12" t="str">
        <f t="shared" si="19"/>
        <v>B</v>
      </c>
    </row>
    <row r="236" spans="1:14" x14ac:dyDescent="0.35">
      <c r="A236" s="1">
        <v>235</v>
      </c>
      <c r="B236" s="1" t="s">
        <v>245</v>
      </c>
      <c r="C236" s="1" t="s">
        <v>13</v>
      </c>
      <c r="D236" s="1">
        <v>13</v>
      </c>
      <c r="E236" s="1" t="s">
        <v>11</v>
      </c>
      <c r="F236" s="1">
        <v>31</v>
      </c>
      <c r="G236" s="1">
        <v>9</v>
      </c>
      <c r="H236" s="1">
        <v>79</v>
      </c>
      <c r="I236" s="1">
        <v>54</v>
      </c>
      <c r="J236" s="2">
        <f t="shared" si="15"/>
        <v>173</v>
      </c>
      <c r="K236" s="6">
        <f t="shared" si="16"/>
        <v>43.25</v>
      </c>
      <c r="L236" s="8">
        <f t="shared" si="17"/>
        <v>43.25</v>
      </c>
      <c r="M236" s="9" t="str">
        <f t="shared" si="18"/>
        <v>Fail</v>
      </c>
      <c r="N236" s="12" t="str">
        <f t="shared" si="19"/>
        <v>D</v>
      </c>
    </row>
    <row r="237" spans="1:14" x14ac:dyDescent="0.35">
      <c r="A237" s="1">
        <v>236</v>
      </c>
      <c r="B237" s="1" t="s">
        <v>246</v>
      </c>
      <c r="C237" s="1" t="s">
        <v>10</v>
      </c>
      <c r="D237" s="1">
        <v>15</v>
      </c>
      <c r="E237" s="1" t="s">
        <v>14</v>
      </c>
      <c r="F237" s="1">
        <v>98</v>
      </c>
      <c r="G237" s="1">
        <v>30</v>
      </c>
      <c r="H237" s="1">
        <v>37</v>
      </c>
      <c r="I237" s="1">
        <v>56</v>
      </c>
      <c r="J237" s="2">
        <f t="shared" si="15"/>
        <v>221</v>
      </c>
      <c r="K237" s="6">
        <f t="shared" si="16"/>
        <v>55.25</v>
      </c>
      <c r="L237" s="8">
        <f t="shared" si="17"/>
        <v>55.25</v>
      </c>
      <c r="M237" s="9" t="str">
        <f t="shared" si="18"/>
        <v>Fail</v>
      </c>
      <c r="N237" s="12" t="str">
        <f t="shared" si="19"/>
        <v>C</v>
      </c>
    </row>
    <row r="238" spans="1:14" x14ac:dyDescent="0.35">
      <c r="A238" s="1">
        <v>237</v>
      </c>
      <c r="B238" s="1" t="s">
        <v>247</v>
      </c>
      <c r="C238" s="1" t="s">
        <v>13</v>
      </c>
      <c r="D238" s="1">
        <v>15</v>
      </c>
      <c r="E238" s="1" t="s">
        <v>11</v>
      </c>
      <c r="F238" s="1">
        <v>92</v>
      </c>
      <c r="G238" s="1">
        <v>87</v>
      </c>
      <c r="H238" s="1">
        <v>38</v>
      </c>
      <c r="I238" s="1">
        <v>53</v>
      </c>
      <c r="J238" s="2">
        <f t="shared" si="15"/>
        <v>270</v>
      </c>
      <c r="K238" s="6">
        <f t="shared" si="16"/>
        <v>67.5</v>
      </c>
      <c r="L238" s="8">
        <f t="shared" si="17"/>
        <v>67.5</v>
      </c>
      <c r="M238" s="9" t="str">
        <f t="shared" si="18"/>
        <v>Pass</v>
      </c>
      <c r="N238" s="12" t="str">
        <f t="shared" si="19"/>
        <v>B</v>
      </c>
    </row>
    <row r="239" spans="1:14" x14ac:dyDescent="0.35">
      <c r="A239" s="1">
        <v>238</v>
      </c>
      <c r="B239" s="1" t="s">
        <v>248</v>
      </c>
      <c r="C239" s="1" t="s">
        <v>10</v>
      </c>
      <c r="D239" s="1">
        <v>15</v>
      </c>
      <c r="E239" s="1" t="s">
        <v>18</v>
      </c>
      <c r="F239" s="1">
        <v>54</v>
      </c>
      <c r="G239" s="1">
        <v>34</v>
      </c>
      <c r="H239" s="1">
        <v>66</v>
      </c>
      <c r="I239" s="1">
        <v>97</v>
      </c>
      <c r="J239" s="2">
        <f t="shared" si="15"/>
        <v>251</v>
      </c>
      <c r="K239" s="6">
        <f t="shared" si="16"/>
        <v>62.75</v>
      </c>
      <c r="L239" s="8">
        <f t="shared" si="17"/>
        <v>62.749999999999993</v>
      </c>
      <c r="M239" s="9" t="str">
        <f t="shared" si="18"/>
        <v>Fail</v>
      </c>
      <c r="N239" s="12" t="str">
        <f t="shared" si="19"/>
        <v>B</v>
      </c>
    </row>
    <row r="240" spans="1:14" x14ac:dyDescent="0.35">
      <c r="A240" s="1">
        <v>239</v>
      </c>
      <c r="B240" s="1" t="s">
        <v>249</v>
      </c>
      <c r="C240" s="1" t="s">
        <v>10</v>
      </c>
      <c r="D240" s="1">
        <v>14</v>
      </c>
      <c r="E240" s="1" t="s">
        <v>18</v>
      </c>
      <c r="F240" s="1">
        <v>49</v>
      </c>
      <c r="G240" s="1">
        <v>47</v>
      </c>
      <c r="H240" s="1">
        <v>19</v>
      </c>
      <c r="I240" s="1">
        <v>55</v>
      </c>
      <c r="J240" s="2">
        <f t="shared" si="15"/>
        <v>170</v>
      </c>
      <c r="K240" s="6">
        <f t="shared" si="16"/>
        <v>42.5</v>
      </c>
      <c r="L240" s="8">
        <f t="shared" si="17"/>
        <v>42.5</v>
      </c>
      <c r="M240" s="9" t="str">
        <f t="shared" si="18"/>
        <v>Fail</v>
      </c>
      <c r="N240" s="12" t="str">
        <f t="shared" si="19"/>
        <v>D</v>
      </c>
    </row>
    <row r="241" spans="1:14" x14ac:dyDescent="0.35">
      <c r="A241" s="1">
        <v>240</v>
      </c>
      <c r="B241" s="1" t="s">
        <v>250</v>
      </c>
      <c r="C241" s="1" t="s">
        <v>13</v>
      </c>
      <c r="D241" s="1">
        <v>15</v>
      </c>
      <c r="E241" s="1" t="s">
        <v>11</v>
      </c>
      <c r="F241" s="1">
        <v>2</v>
      </c>
      <c r="G241" s="1">
        <v>4</v>
      </c>
      <c r="H241" s="1">
        <v>48</v>
      </c>
      <c r="I241" s="1">
        <v>46</v>
      </c>
      <c r="J241" s="2">
        <f t="shared" si="15"/>
        <v>100</v>
      </c>
      <c r="K241" s="6">
        <f t="shared" si="16"/>
        <v>25</v>
      </c>
      <c r="L241" s="8">
        <f t="shared" si="17"/>
        <v>25</v>
      </c>
      <c r="M241" s="9" t="str">
        <f t="shared" si="18"/>
        <v>Fail</v>
      </c>
      <c r="N241" s="12" t="str">
        <f t="shared" si="19"/>
        <v>F</v>
      </c>
    </row>
    <row r="242" spans="1:14" x14ac:dyDescent="0.35">
      <c r="A242" s="1">
        <v>241</v>
      </c>
      <c r="B242" s="1" t="s">
        <v>251</v>
      </c>
      <c r="C242" s="1" t="s">
        <v>13</v>
      </c>
      <c r="D242" s="1">
        <v>14</v>
      </c>
      <c r="E242" s="1" t="s">
        <v>11</v>
      </c>
      <c r="F242" s="1">
        <v>76</v>
      </c>
      <c r="G242" s="1">
        <v>15</v>
      </c>
      <c r="H242" s="1">
        <v>70</v>
      </c>
      <c r="I242" s="1">
        <v>35</v>
      </c>
      <c r="J242" s="2">
        <f t="shared" si="15"/>
        <v>196</v>
      </c>
      <c r="K242" s="6">
        <f t="shared" si="16"/>
        <v>49</v>
      </c>
      <c r="L242" s="8">
        <f t="shared" si="17"/>
        <v>49</v>
      </c>
      <c r="M242" s="9" t="str">
        <f t="shared" si="18"/>
        <v>Fail</v>
      </c>
      <c r="N242" s="12" t="str">
        <f t="shared" si="19"/>
        <v>D</v>
      </c>
    </row>
    <row r="243" spans="1:14" x14ac:dyDescent="0.35">
      <c r="A243" s="1">
        <v>242</v>
      </c>
      <c r="B243" s="1" t="s">
        <v>252</v>
      </c>
      <c r="C243" s="1" t="s">
        <v>13</v>
      </c>
      <c r="D243" s="1">
        <v>15</v>
      </c>
      <c r="E243" s="1" t="s">
        <v>11</v>
      </c>
      <c r="F243" s="1">
        <v>3</v>
      </c>
      <c r="G243" s="1">
        <v>49</v>
      </c>
      <c r="H243" s="1">
        <v>67</v>
      </c>
      <c r="I243" s="1">
        <v>96</v>
      </c>
      <c r="J243" s="2">
        <f t="shared" si="15"/>
        <v>215</v>
      </c>
      <c r="K243" s="6">
        <f t="shared" si="16"/>
        <v>53.75</v>
      </c>
      <c r="L243" s="8">
        <f t="shared" si="17"/>
        <v>53.75</v>
      </c>
      <c r="M243" s="9" t="str">
        <f t="shared" si="18"/>
        <v>Fail</v>
      </c>
      <c r="N243" s="12" t="str">
        <f t="shared" si="19"/>
        <v>C</v>
      </c>
    </row>
    <row r="244" spans="1:14" x14ac:dyDescent="0.35">
      <c r="A244" s="1">
        <v>243</v>
      </c>
      <c r="B244" s="1" t="s">
        <v>253</v>
      </c>
      <c r="C244" s="1" t="s">
        <v>10</v>
      </c>
      <c r="D244" s="1">
        <v>13</v>
      </c>
      <c r="E244" s="1" t="s">
        <v>14</v>
      </c>
      <c r="F244" s="1">
        <v>17</v>
      </c>
      <c r="G244" s="1">
        <v>24</v>
      </c>
      <c r="H244" s="1">
        <v>41</v>
      </c>
      <c r="I244" s="1">
        <v>21</v>
      </c>
      <c r="J244" s="2">
        <f t="shared" si="15"/>
        <v>103</v>
      </c>
      <c r="K244" s="6">
        <f t="shared" si="16"/>
        <v>25.75</v>
      </c>
      <c r="L244" s="8">
        <f t="shared" si="17"/>
        <v>25.75</v>
      </c>
      <c r="M244" s="9" t="str">
        <f t="shared" si="18"/>
        <v>Fail</v>
      </c>
      <c r="N244" s="12" t="str">
        <f t="shared" si="19"/>
        <v>F</v>
      </c>
    </row>
    <row r="245" spans="1:14" x14ac:dyDescent="0.35">
      <c r="A245" s="1">
        <v>244</v>
      </c>
      <c r="B245" s="1" t="s">
        <v>254</v>
      </c>
      <c r="C245" s="1" t="s">
        <v>13</v>
      </c>
      <c r="D245" s="1">
        <v>13</v>
      </c>
      <c r="E245" s="1" t="s">
        <v>11</v>
      </c>
      <c r="F245" s="1">
        <v>95</v>
      </c>
      <c r="G245" s="1">
        <v>63</v>
      </c>
      <c r="H245" s="1">
        <v>65</v>
      </c>
      <c r="I245" s="1">
        <v>71</v>
      </c>
      <c r="J245" s="2">
        <f t="shared" si="15"/>
        <v>294</v>
      </c>
      <c r="K245" s="6">
        <f t="shared" si="16"/>
        <v>73.5</v>
      </c>
      <c r="L245" s="8">
        <f t="shared" si="17"/>
        <v>73.5</v>
      </c>
      <c r="M245" s="9" t="str">
        <f t="shared" si="18"/>
        <v>Pass</v>
      </c>
      <c r="N245" s="12" t="str">
        <f t="shared" si="19"/>
        <v>B</v>
      </c>
    </row>
    <row r="246" spans="1:14" x14ac:dyDescent="0.35">
      <c r="A246" s="1">
        <v>245</v>
      </c>
      <c r="B246" s="1" t="s">
        <v>255</v>
      </c>
      <c r="C246" s="1" t="s">
        <v>10</v>
      </c>
      <c r="D246" s="1">
        <v>15</v>
      </c>
      <c r="E246" s="1" t="s">
        <v>11</v>
      </c>
      <c r="F246" s="1">
        <v>11</v>
      </c>
      <c r="G246" s="1">
        <v>53</v>
      </c>
      <c r="H246" s="1">
        <v>15</v>
      </c>
      <c r="I246" s="1">
        <v>13</v>
      </c>
      <c r="J246" s="2">
        <f t="shared" si="15"/>
        <v>92</v>
      </c>
      <c r="K246" s="6">
        <f t="shared" si="16"/>
        <v>23</v>
      </c>
      <c r="L246" s="8">
        <f t="shared" si="17"/>
        <v>23</v>
      </c>
      <c r="M246" s="9" t="str">
        <f t="shared" si="18"/>
        <v>Fail</v>
      </c>
      <c r="N246" s="12" t="str">
        <f t="shared" si="19"/>
        <v>F</v>
      </c>
    </row>
    <row r="247" spans="1:14" x14ac:dyDescent="0.35">
      <c r="A247" s="1">
        <v>246</v>
      </c>
      <c r="B247" s="1" t="s">
        <v>256</v>
      </c>
      <c r="C247" s="1" t="s">
        <v>13</v>
      </c>
      <c r="D247" s="1">
        <v>13</v>
      </c>
      <c r="E247" s="1" t="s">
        <v>11</v>
      </c>
      <c r="F247" s="1">
        <v>28</v>
      </c>
      <c r="G247" s="1">
        <v>15</v>
      </c>
      <c r="H247" s="1">
        <v>25</v>
      </c>
      <c r="I247" s="1">
        <v>10</v>
      </c>
      <c r="J247" s="2">
        <f t="shared" si="15"/>
        <v>78</v>
      </c>
      <c r="K247" s="6">
        <f t="shared" si="16"/>
        <v>19.5</v>
      </c>
      <c r="L247" s="8">
        <f t="shared" si="17"/>
        <v>19.5</v>
      </c>
      <c r="M247" s="9" t="str">
        <f t="shared" si="18"/>
        <v>Fail</v>
      </c>
      <c r="N247" s="12" t="str">
        <f t="shared" si="19"/>
        <v>F</v>
      </c>
    </row>
    <row r="248" spans="1:14" x14ac:dyDescent="0.35">
      <c r="A248" s="1">
        <v>247</v>
      </c>
      <c r="B248" s="1" t="s">
        <v>257</v>
      </c>
      <c r="C248" s="1" t="s">
        <v>10</v>
      </c>
      <c r="D248" s="1">
        <v>13</v>
      </c>
      <c r="E248" s="1" t="s">
        <v>14</v>
      </c>
      <c r="F248" s="1">
        <v>1</v>
      </c>
      <c r="G248" s="1">
        <v>4</v>
      </c>
      <c r="H248" s="1">
        <v>68</v>
      </c>
      <c r="I248" s="1">
        <v>65</v>
      </c>
      <c r="J248" s="2">
        <f t="shared" si="15"/>
        <v>138</v>
      </c>
      <c r="K248" s="6">
        <f t="shared" si="16"/>
        <v>34.5</v>
      </c>
      <c r="L248" s="8">
        <f t="shared" si="17"/>
        <v>34.5</v>
      </c>
      <c r="M248" s="9" t="str">
        <f t="shared" si="18"/>
        <v>Fail</v>
      </c>
      <c r="N248" s="12" t="str">
        <f t="shared" si="19"/>
        <v>F</v>
      </c>
    </row>
    <row r="249" spans="1:14" x14ac:dyDescent="0.35">
      <c r="A249" s="1">
        <v>248</v>
      </c>
      <c r="B249" s="1" t="s">
        <v>258</v>
      </c>
      <c r="C249" s="1" t="s">
        <v>13</v>
      </c>
      <c r="D249" s="1">
        <v>15</v>
      </c>
      <c r="E249" s="1" t="s">
        <v>14</v>
      </c>
      <c r="F249" s="1">
        <v>93</v>
      </c>
      <c r="G249" s="1">
        <v>48</v>
      </c>
      <c r="H249" s="1">
        <v>82</v>
      </c>
      <c r="I249" s="1">
        <v>44</v>
      </c>
      <c r="J249" s="2">
        <f t="shared" si="15"/>
        <v>267</v>
      </c>
      <c r="K249" s="6">
        <f t="shared" si="16"/>
        <v>66.75</v>
      </c>
      <c r="L249" s="8">
        <f t="shared" si="17"/>
        <v>66.75</v>
      </c>
      <c r="M249" s="9" t="str">
        <f t="shared" si="18"/>
        <v>Pass</v>
      </c>
      <c r="N249" s="12" t="str">
        <f t="shared" si="19"/>
        <v>B</v>
      </c>
    </row>
    <row r="250" spans="1:14" x14ac:dyDescent="0.35">
      <c r="A250" s="1">
        <v>249</v>
      </c>
      <c r="B250" s="1" t="s">
        <v>259</v>
      </c>
      <c r="C250" s="1" t="s">
        <v>10</v>
      </c>
      <c r="D250" s="1">
        <v>14</v>
      </c>
      <c r="E250" s="1" t="s">
        <v>14</v>
      </c>
      <c r="F250" s="1">
        <v>35</v>
      </c>
      <c r="G250" s="1">
        <v>73</v>
      </c>
      <c r="H250" s="1">
        <v>66</v>
      </c>
      <c r="I250" s="1">
        <v>59</v>
      </c>
      <c r="J250" s="2">
        <f t="shared" si="15"/>
        <v>233</v>
      </c>
      <c r="K250" s="6">
        <f t="shared" si="16"/>
        <v>58.25</v>
      </c>
      <c r="L250" s="8">
        <f t="shared" si="17"/>
        <v>58.25</v>
      </c>
      <c r="M250" s="9" t="str">
        <f t="shared" si="18"/>
        <v>Pass</v>
      </c>
      <c r="N250" s="12" t="str">
        <f t="shared" si="19"/>
        <v>C</v>
      </c>
    </row>
    <row r="251" spans="1:14" x14ac:dyDescent="0.35">
      <c r="A251" s="1">
        <v>250</v>
      </c>
      <c r="B251" s="1" t="s">
        <v>260</v>
      </c>
      <c r="C251" s="1" t="s">
        <v>13</v>
      </c>
      <c r="D251" s="1">
        <v>15</v>
      </c>
      <c r="E251" s="1" t="s">
        <v>14</v>
      </c>
      <c r="F251" s="1">
        <v>50</v>
      </c>
      <c r="G251" s="1">
        <v>8</v>
      </c>
      <c r="H251" s="1">
        <v>80</v>
      </c>
      <c r="I251" s="1">
        <v>78</v>
      </c>
      <c r="J251" s="2">
        <f t="shared" si="15"/>
        <v>216</v>
      </c>
      <c r="K251" s="6">
        <f t="shared" si="16"/>
        <v>54</v>
      </c>
      <c r="L251" s="8">
        <f t="shared" si="17"/>
        <v>54</v>
      </c>
      <c r="M251" s="9" t="str">
        <f t="shared" si="18"/>
        <v>Fail</v>
      </c>
      <c r="N251" s="12" t="str">
        <f t="shared" si="19"/>
        <v>C</v>
      </c>
    </row>
  </sheetData>
  <mergeCells count="6">
    <mergeCell ref="Q3:T4"/>
    <mergeCell ref="Q7:S8"/>
    <mergeCell ref="Q11:T12"/>
    <mergeCell ref="Q15:T16"/>
    <mergeCell ref="W3:Z4"/>
    <mergeCell ref="W7:Z8"/>
  </mergeCells>
  <conditionalFormatting sqref="F2:F251">
    <cfRule type="cellIs" dxfId="2" priority="1" operator="lessThan">
      <formula>33</formula>
    </cfRule>
    <cfRule type="cellIs" dxfId="1" priority="3" operator="lessThan">
      <formula>33</formula>
    </cfRule>
    <cfRule type="cellIs" dxfId="0" priority="4" operator="lessThan">
      <formula>33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01AA-4CD4-422E-8F8B-34F6387832FA}">
  <dimension ref="A1:N251"/>
  <sheetViews>
    <sheetView workbookViewId="0">
      <selection activeCell="K9" sqref="K9"/>
    </sheetView>
  </sheetViews>
  <sheetFormatPr defaultRowHeight="14.5" x14ac:dyDescent="0.35"/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4" x14ac:dyDescent="0.35">
      <c r="A2" s="1">
        <v>111</v>
      </c>
      <c r="B2" s="1" t="s">
        <v>124</v>
      </c>
      <c r="C2" s="1" t="s">
        <v>13</v>
      </c>
      <c r="D2" s="1">
        <v>13</v>
      </c>
      <c r="E2" s="1" t="s">
        <v>18</v>
      </c>
      <c r="F2" s="1">
        <v>2</v>
      </c>
      <c r="G2" s="1">
        <v>39</v>
      </c>
      <c r="H2" s="1">
        <v>13</v>
      </c>
      <c r="I2" s="1">
        <v>69</v>
      </c>
    </row>
    <row r="3" spans="1:14" x14ac:dyDescent="0.35">
      <c r="A3" s="1">
        <v>39</v>
      </c>
      <c r="B3" s="1" t="s">
        <v>52</v>
      </c>
      <c r="C3" s="1" t="s">
        <v>10</v>
      </c>
      <c r="D3" s="1">
        <v>13</v>
      </c>
      <c r="E3" s="1" t="s">
        <v>18</v>
      </c>
      <c r="F3" s="1">
        <v>71</v>
      </c>
      <c r="G3" s="1">
        <v>90</v>
      </c>
      <c r="H3" s="1">
        <v>78</v>
      </c>
      <c r="I3" s="1">
        <v>35</v>
      </c>
    </row>
    <row r="4" spans="1:14" x14ac:dyDescent="0.35">
      <c r="A4" s="1">
        <v>97</v>
      </c>
      <c r="B4" s="1" t="s">
        <v>110</v>
      </c>
      <c r="C4" s="1" t="s">
        <v>13</v>
      </c>
      <c r="D4" s="1">
        <v>13</v>
      </c>
      <c r="E4" s="1" t="s">
        <v>18</v>
      </c>
      <c r="F4" s="1">
        <v>19</v>
      </c>
      <c r="G4" s="1">
        <v>98</v>
      </c>
      <c r="H4" s="1">
        <v>13</v>
      </c>
      <c r="I4" s="1">
        <v>86</v>
      </c>
      <c r="L4" s="19" t="s">
        <v>282</v>
      </c>
      <c r="M4" s="19"/>
      <c r="N4" s="19"/>
    </row>
    <row r="5" spans="1:14" x14ac:dyDescent="0.35">
      <c r="A5" s="1">
        <v>29</v>
      </c>
      <c r="B5" s="1" t="s">
        <v>42</v>
      </c>
      <c r="C5" s="1" t="s">
        <v>13</v>
      </c>
      <c r="D5" s="1">
        <v>13</v>
      </c>
      <c r="E5" s="1" t="s">
        <v>11</v>
      </c>
      <c r="F5" s="1">
        <v>19</v>
      </c>
      <c r="G5" s="1">
        <v>8</v>
      </c>
      <c r="H5" s="1">
        <v>76</v>
      </c>
      <c r="I5" s="1">
        <v>75</v>
      </c>
      <c r="L5" s="19"/>
      <c r="M5" s="19"/>
      <c r="N5" s="19"/>
    </row>
    <row r="6" spans="1:14" x14ac:dyDescent="0.35">
      <c r="A6" s="1">
        <v>149</v>
      </c>
      <c r="B6" s="1" t="s">
        <v>161</v>
      </c>
      <c r="C6" s="1" t="s">
        <v>10</v>
      </c>
      <c r="D6" s="1">
        <v>15</v>
      </c>
      <c r="E6" s="1" t="s">
        <v>11</v>
      </c>
      <c r="F6" s="1">
        <v>51</v>
      </c>
      <c r="G6" s="1">
        <v>67</v>
      </c>
      <c r="H6" s="1">
        <v>67</v>
      </c>
      <c r="I6" s="1">
        <v>91</v>
      </c>
      <c r="L6" s="19"/>
      <c r="M6" s="19"/>
      <c r="N6" s="19"/>
    </row>
    <row r="7" spans="1:14" x14ac:dyDescent="0.35">
      <c r="A7" s="1">
        <v>86</v>
      </c>
      <c r="B7" s="1" t="s">
        <v>99</v>
      </c>
      <c r="C7" s="1" t="s">
        <v>13</v>
      </c>
      <c r="D7" s="1">
        <v>15</v>
      </c>
      <c r="E7" s="1" t="s">
        <v>11</v>
      </c>
      <c r="F7" s="1">
        <v>17</v>
      </c>
      <c r="G7" s="1">
        <v>75</v>
      </c>
      <c r="H7" s="1">
        <v>8</v>
      </c>
      <c r="I7" s="1">
        <v>71</v>
      </c>
    </row>
    <row r="8" spans="1:14" x14ac:dyDescent="0.35">
      <c r="A8" s="1">
        <v>137</v>
      </c>
      <c r="B8" s="1" t="s">
        <v>150</v>
      </c>
      <c r="C8" s="1" t="s">
        <v>10</v>
      </c>
      <c r="D8" s="1">
        <v>15</v>
      </c>
      <c r="E8" s="1" t="s">
        <v>11</v>
      </c>
      <c r="F8" s="1">
        <v>52</v>
      </c>
      <c r="G8" s="1">
        <v>39</v>
      </c>
      <c r="H8" s="1">
        <v>37</v>
      </c>
      <c r="I8" s="1">
        <v>3</v>
      </c>
    </row>
    <row r="9" spans="1:14" x14ac:dyDescent="0.35">
      <c r="A9" s="1">
        <v>186</v>
      </c>
      <c r="B9" s="1" t="s">
        <v>197</v>
      </c>
      <c r="C9" s="1" t="s">
        <v>13</v>
      </c>
      <c r="D9" s="1">
        <v>15</v>
      </c>
      <c r="E9" s="1" t="s">
        <v>18</v>
      </c>
      <c r="F9" s="1">
        <v>48</v>
      </c>
      <c r="G9" s="1">
        <v>2</v>
      </c>
      <c r="H9" s="1">
        <v>63</v>
      </c>
      <c r="I9" s="1">
        <v>91</v>
      </c>
    </row>
    <row r="10" spans="1:14" x14ac:dyDescent="0.35">
      <c r="A10" s="1">
        <v>164</v>
      </c>
      <c r="B10" s="1" t="s">
        <v>176</v>
      </c>
      <c r="C10" s="1" t="s">
        <v>10</v>
      </c>
      <c r="D10" s="1">
        <v>13</v>
      </c>
      <c r="E10" s="1" t="s">
        <v>18</v>
      </c>
      <c r="F10" s="1">
        <v>91</v>
      </c>
      <c r="G10" s="1">
        <v>12</v>
      </c>
      <c r="H10" s="1">
        <v>15</v>
      </c>
      <c r="I10" s="1">
        <v>70</v>
      </c>
    </row>
    <row r="11" spans="1:14" x14ac:dyDescent="0.35">
      <c r="A11" s="1">
        <v>210</v>
      </c>
      <c r="B11" s="1" t="s">
        <v>220</v>
      </c>
      <c r="C11" s="1" t="s">
        <v>13</v>
      </c>
      <c r="D11" s="1">
        <v>13</v>
      </c>
      <c r="E11" s="1" t="s">
        <v>18</v>
      </c>
      <c r="F11" s="1">
        <v>7</v>
      </c>
      <c r="G11" s="1">
        <v>29</v>
      </c>
      <c r="H11" s="1">
        <v>30</v>
      </c>
      <c r="I11" s="1">
        <v>23</v>
      </c>
    </row>
    <row r="12" spans="1:14" x14ac:dyDescent="0.35">
      <c r="A12" s="1">
        <v>158</v>
      </c>
      <c r="B12" s="1" t="s">
        <v>170</v>
      </c>
      <c r="C12" s="1" t="s">
        <v>10</v>
      </c>
      <c r="D12" s="1">
        <v>13</v>
      </c>
      <c r="E12" s="1" t="s">
        <v>11</v>
      </c>
      <c r="F12" s="1">
        <v>72</v>
      </c>
      <c r="G12" s="1">
        <v>24</v>
      </c>
      <c r="H12" s="1">
        <v>83</v>
      </c>
      <c r="I12" s="1">
        <v>62</v>
      </c>
    </row>
    <row r="13" spans="1:14" x14ac:dyDescent="0.35">
      <c r="A13" s="1">
        <v>145</v>
      </c>
      <c r="B13" s="1" t="s">
        <v>158</v>
      </c>
      <c r="C13" s="1" t="s">
        <v>13</v>
      </c>
      <c r="D13" s="1">
        <v>15</v>
      </c>
      <c r="E13" s="1" t="s">
        <v>18</v>
      </c>
      <c r="F13" s="1">
        <v>76</v>
      </c>
      <c r="G13" s="1">
        <v>53</v>
      </c>
      <c r="H13" s="1">
        <v>32</v>
      </c>
      <c r="I13" s="1">
        <v>69</v>
      </c>
    </row>
    <row r="14" spans="1:14" x14ac:dyDescent="0.35">
      <c r="A14" s="1">
        <v>102</v>
      </c>
      <c r="B14" s="1" t="s">
        <v>115</v>
      </c>
      <c r="C14" s="1" t="s">
        <v>10</v>
      </c>
      <c r="D14" s="1">
        <v>13</v>
      </c>
      <c r="E14" s="1" t="s">
        <v>14</v>
      </c>
      <c r="F14" s="1">
        <v>80</v>
      </c>
      <c r="G14" s="1">
        <v>28</v>
      </c>
      <c r="H14" s="1">
        <v>53</v>
      </c>
      <c r="I14" s="1">
        <v>67</v>
      </c>
    </row>
    <row r="15" spans="1:14" x14ac:dyDescent="0.35">
      <c r="A15" s="1">
        <v>233</v>
      </c>
      <c r="B15" s="1" t="s">
        <v>243</v>
      </c>
      <c r="C15" s="1" t="s">
        <v>13</v>
      </c>
      <c r="D15" s="1">
        <v>14</v>
      </c>
      <c r="E15" s="1" t="s">
        <v>14</v>
      </c>
      <c r="F15" s="1">
        <v>65</v>
      </c>
      <c r="G15" s="1">
        <v>32</v>
      </c>
      <c r="H15" s="1">
        <v>67</v>
      </c>
      <c r="I15" s="1">
        <v>35</v>
      </c>
    </row>
    <row r="16" spans="1:14" x14ac:dyDescent="0.35">
      <c r="A16" s="1">
        <v>120</v>
      </c>
      <c r="B16" s="1" t="s">
        <v>133</v>
      </c>
      <c r="C16" s="1" t="s">
        <v>13</v>
      </c>
      <c r="D16" s="1">
        <v>14</v>
      </c>
      <c r="E16" s="1" t="s">
        <v>18</v>
      </c>
      <c r="F16" s="1">
        <v>80</v>
      </c>
      <c r="G16" s="1">
        <v>34</v>
      </c>
      <c r="H16" s="1">
        <v>85</v>
      </c>
      <c r="I16" s="1">
        <v>71</v>
      </c>
    </row>
    <row r="17" spans="1:9" x14ac:dyDescent="0.35">
      <c r="A17" s="1">
        <v>83</v>
      </c>
      <c r="B17" s="1" t="s">
        <v>96</v>
      </c>
      <c r="C17" s="1" t="s">
        <v>13</v>
      </c>
      <c r="D17" s="1">
        <v>14</v>
      </c>
      <c r="E17" s="1" t="s">
        <v>18</v>
      </c>
      <c r="F17" s="1">
        <v>59</v>
      </c>
      <c r="G17" s="1">
        <v>12</v>
      </c>
      <c r="H17" s="1">
        <v>45</v>
      </c>
      <c r="I17" s="1">
        <v>64</v>
      </c>
    </row>
    <row r="18" spans="1:9" x14ac:dyDescent="0.35">
      <c r="A18" s="1">
        <v>180</v>
      </c>
      <c r="B18" s="1" t="s">
        <v>191</v>
      </c>
      <c r="C18" s="1" t="s">
        <v>10</v>
      </c>
      <c r="D18" s="1">
        <v>15</v>
      </c>
      <c r="E18" s="1" t="s">
        <v>11</v>
      </c>
      <c r="F18" s="1">
        <v>32</v>
      </c>
      <c r="G18" s="1">
        <v>5</v>
      </c>
      <c r="H18" s="1">
        <v>53</v>
      </c>
      <c r="I18" s="1">
        <v>49</v>
      </c>
    </row>
    <row r="19" spans="1:9" x14ac:dyDescent="0.35">
      <c r="A19" s="1">
        <v>21</v>
      </c>
      <c r="B19" s="1" t="s">
        <v>34</v>
      </c>
      <c r="C19" s="1" t="s">
        <v>13</v>
      </c>
      <c r="D19" s="1">
        <v>13</v>
      </c>
      <c r="E19" s="1" t="s">
        <v>18</v>
      </c>
      <c r="F19" s="1">
        <v>76</v>
      </c>
      <c r="G19" s="1">
        <v>96</v>
      </c>
      <c r="H19" s="1">
        <v>67</v>
      </c>
      <c r="I19" s="1">
        <v>17</v>
      </c>
    </row>
    <row r="20" spans="1:9" x14ac:dyDescent="0.35">
      <c r="A20" s="1">
        <v>36</v>
      </c>
      <c r="B20" s="1" t="s">
        <v>49</v>
      </c>
      <c r="C20" s="1" t="s">
        <v>10</v>
      </c>
      <c r="D20" s="1">
        <v>15</v>
      </c>
      <c r="E20" s="1" t="s">
        <v>11</v>
      </c>
      <c r="F20" s="1">
        <v>93</v>
      </c>
      <c r="G20" s="1">
        <v>53</v>
      </c>
      <c r="H20" s="1">
        <v>10</v>
      </c>
      <c r="I20" s="1">
        <v>29</v>
      </c>
    </row>
    <row r="21" spans="1:9" x14ac:dyDescent="0.35">
      <c r="A21" s="1">
        <v>249</v>
      </c>
      <c r="B21" s="1" t="s">
        <v>259</v>
      </c>
      <c r="C21" s="1" t="s">
        <v>10</v>
      </c>
      <c r="D21" s="1">
        <v>14</v>
      </c>
      <c r="E21" s="1" t="s">
        <v>14</v>
      </c>
      <c r="F21" s="1">
        <v>35</v>
      </c>
      <c r="G21" s="1">
        <v>73</v>
      </c>
      <c r="H21" s="1">
        <v>66</v>
      </c>
      <c r="I21" s="1">
        <v>59</v>
      </c>
    </row>
    <row r="22" spans="1:9" x14ac:dyDescent="0.35">
      <c r="A22" s="1">
        <v>119</v>
      </c>
      <c r="B22" s="1" t="s">
        <v>132</v>
      </c>
      <c r="C22" s="1" t="s">
        <v>10</v>
      </c>
      <c r="D22" s="1">
        <v>13</v>
      </c>
      <c r="E22" s="1" t="s">
        <v>11</v>
      </c>
      <c r="F22" s="1">
        <v>2</v>
      </c>
      <c r="G22" s="1">
        <v>60</v>
      </c>
      <c r="H22" s="1">
        <v>67</v>
      </c>
      <c r="I22" s="1">
        <v>29</v>
      </c>
    </row>
    <row r="23" spans="1:9" x14ac:dyDescent="0.35">
      <c r="A23" s="1">
        <v>95</v>
      </c>
      <c r="B23" s="1" t="s">
        <v>108</v>
      </c>
      <c r="C23" s="1" t="s">
        <v>13</v>
      </c>
      <c r="D23" s="1">
        <v>14</v>
      </c>
      <c r="E23" s="1" t="s">
        <v>18</v>
      </c>
      <c r="F23" s="1">
        <v>64</v>
      </c>
      <c r="G23" s="1">
        <v>18</v>
      </c>
      <c r="H23" s="1">
        <v>73</v>
      </c>
      <c r="I23" s="1">
        <v>37</v>
      </c>
    </row>
    <row r="24" spans="1:9" x14ac:dyDescent="0.35">
      <c r="A24" s="1">
        <v>44</v>
      </c>
      <c r="B24" s="1" t="s">
        <v>57</v>
      </c>
      <c r="C24" s="1" t="s">
        <v>10</v>
      </c>
      <c r="D24" s="1">
        <v>15</v>
      </c>
      <c r="E24" s="1" t="s">
        <v>14</v>
      </c>
      <c r="F24" s="1">
        <v>26</v>
      </c>
      <c r="G24" s="1">
        <v>46</v>
      </c>
      <c r="H24" s="1">
        <v>81</v>
      </c>
      <c r="I24" s="1">
        <v>63</v>
      </c>
    </row>
    <row r="25" spans="1:9" x14ac:dyDescent="0.35">
      <c r="A25" s="1">
        <v>20</v>
      </c>
      <c r="B25" s="1" t="s">
        <v>33</v>
      </c>
      <c r="C25" s="1" t="s">
        <v>13</v>
      </c>
      <c r="D25" s="1">
        <v>13</v>
      </c>
      <c r="E25" s="1" t="s">
        <v>14</v>
      </c>
      <c r="F25" s="1">
        <v>41</v>
      </c>
      <c r="G25" s="1">
        <v>6</v>
      </c>
      <c r="H25" s="1">
        <v>17</v>
      </c>
      <c r="I25" s="1">
        <v>3</v>
      </c>
    </row>
    <row r="26" spans="1:9" x14ac:dyDescent="0.35">
      <c r="A26" s="1">
        <v>239</v>
      </c>
      <c r="B26" s="1" t="s">
        <v>249</v>
      </c>
      <c r="C26" s="1" t="s">
        <v>10</v>
      </c>
      <c r="D26" s="1">
        <v>14</v>
      </c>
      <c r="E26" s="1" t="s">
        <v>18</v>
      </c>
      <c r="F26" s="1">
        <v>49</v>
      </c>
      <c r="G26" s="1">
        <v>47</v>
      </c>
      <c r="H26" s="1">
        <v>19</v>
      </c>
      <c r="I26" s="1">
        <v>55</v>
      </c>
    </row>
    <row r="27" spans="1:9" x14ac:dyDescent="0.35">
      <c r="A27" s="1">
        <v>87</v>
      </c>
      <c r="B27" s="1" t="s">
        <v>100</v>
      </c>
      <c r="C27" s="1" t="s">
        <v>10</v>
      </c>
      <c r="D27" s="1">
        <v>13</v>
      </c>
      <c r="E27" s="1" t="s">
        <v>18</v>
      </c>
      <c r="F27" s="1">
        <v>8</v>
      </c>
      <c r="G27" s="1">
        <v>72</v>
      </c>
      <c r="H27" s="1">
        <v>78</v>
      </c>
      <c r="I27" s="1">
        <v>14</v>
      </c>
    </row>
    <row r="28" spans="1:9" x14ac:dyDescent="0.35">
      <c r="A28" s="1">
        <v>161</v>
      </c>
      <c r="B28" s="1" t="s">
        <v>173</v>
      </c>
      <c r="C28" s="1" t="s">
        <v>10</v>
      </c>
      <c r="D28" s="1">
        <v>15</v>
      </c>
      <c r="E28" s="1" t="s">
        <v>11</v>
      </c>
      <c r="F28" s="1">
        <v>58</v>
      </c>
      <c r="G28" s="1">
        <v>25</v>
      </c>
      <c r="H28" s="1">
        <v>23</v>
      </c>
      <c r="I28" s="1">
        <v>39</v>
      </c>
    </row>
    <row r="29" spans="1:9" x14ac:dyDescent="0.35">
      <c r="A29" s="1">
        <v>202</v>
      </c>
      <c r="B29" s="1" t="s">
        <v>212</v>
      </c>
      <c r="C29" s="1" t="s">
        <v>13</v>
      </c>
      <c r="D29" s="1">
        <v>14</v>
      </c>
      <c r="E29" s="1" t="s">
        <v>11</v>
      </c>
      <c r="F29" s="1">
        <v>89</v>
      </c>
      <c r="G29" s="1">
        <v>59</v>
      </c>
      <c r="H29" s="1">
        <v>33</v>
      </c>
      <c r="I29" s="1">
        <v>91</v>
      </c>
    </row>
    <row r="30" spans="1:9" x14ac:dyDescent="0.35">
      <c r="A30" s="1">
        <v>127</v>
      </c>
      <c r="B30" s="1" t="s">
        <v>140</v>
      </c>
      <c r="C30" s="1" t="s">
        <v>13</v>
      </c>
      <c r="D30" s="1">
        <v>14</v>
      </c>
      <c r="E30" s="1" t="s">
        <v>14</v>
      </c>
      <c r="F30" s="1">
        <v>76</v>
      </c>
      <c r="G30" s="1">
        <v>36</v>
      </c>
      <c r="H30" s="1">
        <v>32</v>
      </c>
      <c r="I30" s="1">
        <v>47</v>
      </c>
    </row>
    <row r="31" spans="1:9" x14ac:dyDescent="0.35">
      <c r="A31" s="1">
        <v>22</v>
      </c>
      <c r="B31" s="1" t="s">
        <v>35</v>
      </c>
      <c r="C31" s="1" t="s">
        <v>13</v>
      </c>
      <c r="D31" s="1">
        <v>14</v>
      </c>
      <c r="E31" s="1" t="s">
        <v>14</v>
      </c>
      <c r="F31" s="1">
        <v>3</v>
      </c>
      <c r="G31" s="1">
        <v>55</v>
      </c>
      <c r="H31" s="1">
        <v>14</v>
      </c>
      <c r="I31" s="1">
        <v>90</v>
      </c>
    </row>
    <row r="32" spans="1:9" x14ac:dyDescent="0.35">
      <c r="A32" s="1">
        <v>118</v>
      </c>
      <c r="B32" s="1" t="s">
        <v>131</v>
      </c>
      <c r="C32" s="1" t="s">
        <v>10</v>
      </c>
      <c r="D32" s="1">
        <v>14</v>
      </c>
      <c r="E32" s="1" t="s">
        <v>14</v>
      </c>
      <c r="F32" s="1">
        <v>90</v>
      </c>
      <c r="G32" s="1">
        <v>22</v>
      </c>
      <c r="H32" s="1">
        <v>2</v>
      </c>
      <c r="I32" s="1">
        <v>12</v>
      </c>
    </row>
    <row r="33" spans="1:9" x14ac:dyDescent="0.35">
      <c r="A33" s="1">
        <v>138</v>
      </c>
      <c r="B33" s="1" t="s">
        <v>151</v>
      </c>
      <c r="C33" s="1" t="s">
        <v>13</v>
      </c>
      <c r="D33" s="1">
        <v>13</v>
      </c>
      <c r="E33" s="1" t="s">
        <v>11</v>
      </c>
      <c r="F33" s="1">
        <v>10</v>
      </c>
      <c r="G33" s="1">
        <v>29</v>
      </c>
      <c r="H33" s="1">
        <v>21</v>
      </c>
      <c r="I33" s="1">
        <v>13</v>
      </c>
    </row>
    <row r="34" spans="1:9" x14ac:dyDescent="0.35">
      <c r="A34" s="1">
        <v>74</v>
      </c>
      <c r="B34" s="1" t="s">
        <v>87</v>
      </c>
      <c r="C34" s="1" t="s">
        <v>13</v>
      </c>
      <c r="D34" s="1">
        <v>13</v>
      </c>
      <c r="E34" s="1" t="s">
        <v>14</v>
      </c>
      <c r="F34" s="1">
        <v>46</v>
      </c>
      <c r="G34" s="1">
        <v>89</v>
      </c>
      <c r="H34" s="1">
        <v>83</v>
      </c>
      <c r="I34" s="1">
        <v>64</v>
      </c>
    </row>
    <row r="35" spans="1:9" x14ac:dyDescent="0.35">
      <c r="A35" s="1">
        <v>215</v>
      </c>
      <c r="B35" s="1" t="s">
        <v>225</v>
      </c>
      <c r="C35" s="1" t="s">
        <v>13</v>
      </c>
      <c r="D35" s="1">
        <v>13</v>
      </c>
      <c r="E35" s="1" t="s">
        <v>11</v>
      </c>
      <c r="F35" s="1">
        <v>68</v>
      </c>
      <c r="G35" s="1">
        <v>79</v>
      </c>
      <c r="H35" s="1">
        <v>71</v>
      </c>
      <c r="I35" s="1">
        <v>41</v>
      </c>
    </row>
    <row r="36" spans="1:9" x14ac:dyDescent="0.35">
      <c r="A36" s="1">
        <v>139</v>
      </c>
      <c r="B36" s="1" t="s">
        <v>152</v>
      </c>
      <c r="C36" s="1" t="s">
        <v>13</v>
      </c>
      <c r="D36" s="1">
        <v>13</v>
      </c>
      <c r="E36" s="1" t="s">
        <v>14</v>
      </c>
      <c r="F36" s="1">
        <v>52</v>
      </c>
      <c r="G36" s="1">
        <v>62</v>
      </c>
      <c r="H36" s="1">
        <v>44</v>
      </c>
      <c r="I36" s="1">
        <v>10</v>
      </c>
    </row>
    <row r="37" spans="1:9" x14ac:dyDescent="0.35">
      <c r="A37" s="1">
        <v>8</v>
      </c>
      <c r="B37" s="1" t="s">
        <v>21</v>
      </c>
      <c r="C37" s="1" t="s">
        <v>13</v>
      </c>
      <c r="D37" s="1">
        <v>14</v>
      </c>
      <c r="E37" s="1" t="s">
        <v>14</v>
      </c>
      <c r="F37" s="1">
        <v>25</v>
      </c>
      <c r="G37" s="1">
        <v>51</v>
      </c>
      <c r="H37" s="1">
        <v>41</v>
      </c>
      <c r="I37" s="1">
        <v>80</v>
      </c>
    </row>
    <row r="38" spans="1:9" x14ac:dyDescent="0.35">
      <c r="A38" s="1">
        <v>71</v>
      </c>
      <c r="B38" s="1" t="s">
        <v>84</v>
      </c>
      <c r="C38" s="1" t="s">
        <v>10</v>
      </c>
      <c r="D38" s="1">
        <v>15</v>
      </c>
      <c r="E38" s="1" t="s">
        <v>11</v>
      </c>
      <c r="F38" s="1">
        <v>95</v>
      </c>
      <c r="G38" s="1">
        <v>32</v>
      </c>
      <c r="H38" s="1">
        <v>91</v>
      </c>
      <c r="I38" s="1">
        <v>48</v>
      </c>
    </row>
    <row r="39" spans="1:9" x14ac:dyDescent="0.35">
      <c r="A39" s="1">
        <v>184</v>
      </c>
      <c r="B39" s="1" t="s">
        <v>195</v>
      </c>
      <c r="C39" s="1" t="s">
        <v>10</v>
      </c>
      <c r="D39" s="1">
        <v>13</v>
      </c>
      <c r="E39" s="1" t="s">
        <v>11</v>
      </c>
      <c r="F39" s="1">
        <v>53</v>
      </c>
      <c r="G39" s="1">
        <v>37</v>
      </c>
      <c r="H39" s="1">
        <v>83</v>
      </c>
      <c r="I39" s="1">
        <v>64</v>
      </c>
    </row>
    <row r="40" spans="1:9" x14ac:dyDescent="0.35">
      <c r="A40" s="1">
        <v>226</v>
      </c>
      <c r="B40" s="1" t="s">
        <v>236</v>
      </c>
      <c r="C40" s="1" t="s">
        <v>10</v>
      </c>
      <c r="D40" s="1">
        <v>15</v>
      </c>
      <c r="E40" s="1" t="s">
        <v>14</v>
      </c>
      <c r="F40" s="1">
        <v>16</v>
      </c>
      <c r="G40" s="1">
        <v>4</v>
      </c>
      <c r="H40" s="1">
        <v>49</v>
      </c>
      <c r="I40" s="1">
        <v>1</v>
      </c>
    </row>
    <row r="41" spans="1:9" x14ac:dyDescent="0.35">
      <c r="A41" s="1">
        <v>131</v>
      </c>
      <c r="B41" s="1" t="s">
        <v>144</v>
      </c>
      <c r="C41" s="1" t="s">
        <v>10</v>
      </c>
      <c r="D41" s="1">
        <v>15</v>
      </c>
      <c r="E41" s="1" t="s">
        <v>14</v>
      </c>
      <c r="F41" s="1">
        <v>85</v>
      </c>
      <c r="G41" s="1">
        <v>30</v>
      </c>
      <c r="H41" s="1">
        <v>50</v>
      </c>
      <c r="I41" s="1">
        <v>2</v>
      </c>
    </row>
    <row r="42" spans="1:9" x14ac:dyDescent="0.35">
      <c r="A42" s="1">
        <v>61</v>
      </c>
      <c r="B42" s="1" t="s">
        <v>74</v>
      </c>
      <c r="C42" s="1" t="s">
        <v>10</v>
      </c>
      <c r="D42" s="1">
        <v>14</v>
      </c>
      <c r="E42" s="1" t="s">
        <v>11</v>
      </c>
      <c r="F42" s="1">
        <v>16</v>
      </c>
      <c r="G42" s="1">
        <v>57</v>
      </c>
      <c r="H42" s="1">
        <v>90</v>
      </c>
      <c r="I42" s="1">
        <v>14</v>
      </c>
    </row>
    <row r="43" spans="1:9" x14ac:dyDescent="0.35">
      <c r="A43" s="1">
        <v>43</v>
      </c>
      <c r="B43" s="1" t="s">
        <v>56</v>
      </c>
      <c r="C43" s="1" t="s">
        <v>13</v>
      </c>
      <c r="D43" s="1">
        <v>15</v>
      </c>
      <c r="E43" s="1" t="s">
        <v>14</v>
      </c>
      <c r="F43" s="1">
        <v>43</v>
      </c>
      <c r="G43" s="1">
        <v>2</v>
      </c>
      <c r="H43" s="1">
        <v>17</v>
      </c>
      <c r="I43" s="1">
        <v>78</v>
      </c>
    </row>
    <row r="44" spans="1:9" x14ac:dyDescent="0.35">
      <c r="A44" s="1">
        <v>123</v>
      </c>
      <c r="B44" s="1" t="s">
        <v>136</v>
      </c>
      <c r="C44" s="1" t="s">
        <v>13</v>
      </c>
      <c r="D44" s="1">
        <v>13</v>
      </c>
      <c r="E44" s="1" t="s">
        <v>18</v>
      </c>
      <c r="F44" s="1">
        <v>18</v>
      </c>
      <c r="G44" s="1">
        <v>100</v>
      </c>
      <c r="H44" s="1">
        <v>39</v>
      </c>
      <c r="I44" s="1">
        <v>8</v>
      </c>
    </row>
    <row r="45" spans="1:9" x14ac:dyDescent="0.35">
      <c r="A45" s="1">
        <v>99</v>
      </c>
      <c r="B45" s="1" t="s">
        <v>112</v>
      </c>
      <c r="C45" s="1" t="s">
        <v>13</v>
      </c>
      <c r="D45" s="1">
        <v>14</v>
      </c>
      <c r="E45" s="1" t="s">
        <v>11</v>
      </c>
      <c r="F45" s="1">
        <v>72</v>
      </c>
      <c r="G45" s="1">
        <v>51</v>
      </c>
      <c r="H45" s="1">
        <v>50</v>
      </c>
      <c r="I45" s="1">
        <v>11</v>
      </c>
    </row>
    <row r="46" spans="1:9" x14ac:dyDescent="0.35">
      <c r="A46" s="1">
        <v>85</v>
      </c>
      <c r="B46" s="1" t="s">
        <v>98</v>
      </c>
      <c r="C46" s="1" t="s">
        <v>10</v>
      </c>
      <c r="D46" s="1">
        <v>13</v>
      </c>
      <c r="E46" s="1" t="s">
        <v>11</v>
      </c>
      <c r="F46" s="1">
        <v>36</v>
      </c>
      <c r="G46" s="1">
        <v>95</v>
      </c>
      <c r="H46" s="1">
        <v>55</v>
      </c>
      <c r="I46" s="1">
        <v>46</v>
      </c>
    </row>
    <row r="47" spans="1:9" x14ac:dyDescent="0.35">
      <c r="A47" s="1">
        <v>146</v>
      </c>
      <c r="B47" s="1" t="s">
        <v>98</v>
      </c>
      <c r="C47" s="1" t="s">
        <v>10</v>
      </c>
      <c r="D47" s="1">
        <v>15</v>
      </c>
      <c r="E47" s="1" t="s">
        <v>14</v>
      </c>
      <c r="F47" s="1">
        <v>43</v>
      </c>
      <c r="G47" s="1">
        <v>4</v>
      </c>
      <c r="H47" s="1">
        <v>40</v>
      </c>
      <c r="I47" s="1">
        <v>93</v>
      </c>
    </row>
    <row r="48" spans="1:9" x14ac:dyDescent="0.35">
      <c r="A48" s="1">
        <v>237</v>
      </c>
      <c r="B48" s="1" t="s">
        <v>247</v>
      </c>
      <c r="C48" s="1" t="s">
        <v>13</v>
      </c>
      <c r="D48" s="1">
        <v>15</v>
      </c>
      <c r="E48" s="1" t="s">
        <v>11</v>
      </c>
      <c r="F48" s="1">
        <v>92</v>
      </c>
      <c r="G48" s="1">
        <v>87</v>
      </c>
      <c r="H48" s="1">
        <v>38</v>
      </c>
      <c r="I48" s="1">
        <v>53</v>
      </c>
    </row>
    <row r="49" spans="1:9" x14ac:dyDescent="0.35">
      <c r="A49" s="1">
        <v>1</v>
      </c>
      <c r="B49" s="1" t="s">
        <v>9</v>
      </c>
      <c r="C49" s="1" t="s">
        <v>10</v>
      </c>
      <c r="D49" s="1">
        <v>13</v>
      </c>
      <c r="E49" s="1" t="s">
        <v>11</v>
      </c>
      <c r="F49" s="1">
        <v>21</v>
      </c>
      <c r="G49" s="1">
        <v>81</v>
      </c>
      <c r="H49" s="1">
        <v>62</v>
      </c>
      <c r="I49" s="1">
        <v>49</v>
      </c>
    </row>
    <row r="50" spans="1:9" x14ac:dyDescent="0.35">
      <c r="A50" s="1">
        <v>219</v>
      </c>
      <c r="B50" s="1" t="s">
        <v>229</v>
      </c>
      <c r="C50" s="1" t="s">
        <v>13</v>
      </c>
      <c r="D50" s="1">
        <v>14</v>
      </c>
      <c r="E50" s="1" t="s">
        <v>11</v>
      </c>
      <c r="F50" s="1">
        <v>58</v>
      </c>
      <c r="G50" s="1">
        <v>60</v>
      </c>
      <c r="H50" s="1">
        <v>7</v>
      </c>
      <c r="I50" s="1">
        <v>90</v>
      </c>
    </row>
    <row r="51" spans="1:9" x14ac:dyDescent="0.35">
      <c r="A51" s="1">
        <v>152</v>
      </c>
      <c r="B51" s="1" t="s">
        <v>164</v>
      </c>
      <c r="C51" s="1" t="s">
        <v>10</v>
      </c>
      <c r="D51" s="1">
        <v>15</v>
      </c>
      <c r="E51" s="1" t="s">
        <v>18</v>
      </c>
      <c r="F51" s="1">
        <v>26</v>
      </c>
      <c r="G51" s="1">
        <v>76</v>
      </c>
      <c r="H51" s="1">
        <v>56</v>
      </c>
      <c r="I51" s="1">
        <v>75</v>
      </c>
    </row>
    <row r="52" spans="1:9" x14ac:dyDescent="0.35">
      <c r="A52" s="1">
        <v>198</v>
      </c>
      <c r="B52" s="1" t="s">
        <v>209</v>
      </c>
      <c r="C52" s="1" t="s">
        <v>10</v>
      </c>
      <c r="D52" s="1">
        <v>14</v>
      </c>
      <c r="E52" s="1" t="s">
        <v>14</v>
      </c>
      <c r="F52" s="1">
        <v>98</v>
      </c>
      <c r="G52" s="1">
        <v>13</v>
      </c>
      <c r="H52" s="1">
        <v>35</v>
      </c>
      <c r="I52" s="1">
        <v>4</v>
      </c>
    </row>
    <row r="53" spans="1:9" x14ac:dyDescent="0.35">
      <c r="A53" s="1">
        <v>27</v>
      </c>
      <c r="B53" s="1" t="s">
        <v>40</v>
      </c>
      <c r="C53" s="1" t="s">
        <v>10</v>
      </c>
      <c r="D53" s="1">
        <v>14</v>
      </c>
      <c r="E53" s="1" t="s">
        <v>18</v>
      </c>
      <c r="F53" s="1">
        <v>93</v>
      </c>
      <c r="G53" s="1">
        <v>93</v>
      </c>
      <c r="H53" s="1">
        <v>83</v>
      </c>
      <c r="I53" s="1">
        <v>40</v>
      </c>
    </row>
    <row r="54" spans="1:9" x14ac:dyDescent="0.35">
      <c r="A54" s="1">
        <v>76</v>
      </c>
      <c r="B54" s="1" t="s">
        <v>89</v>
      </c>
      <c r="C54" s="1" t="s">
        <v>13</v>
      </c>
      <c r="D54" s="1">
        <v>15</v>
      </c>
      <c r="E54" s="1" t="s">
        <v>11</v>
      </c>
      <c r="F54" s="1">
        <v>32</v>
      </c>
      <c r="G54" s="1">
        <v>31</v>
      </c>
      <c r="H54" s="1">
        <v>89</v>
      </c>
      <c r="I54" s="1">
        <v>30</v>
      </c>
    </row>
    <row r="55" spans="1:9" x14ac:dyDescent="0.35">
      <c r="A55" s="1">
        <v>110</v>
      </c>
      <c r="B55" s="1" t="s">
        <v>123</v>
      </c>
      <c r="C55" s="1" t="s">
        <v>10</v>
      </c>
      <c r="D55" s="1">
        <v>14</v>
      </c>
      <c r="E55" s="1" t="s">
        <v>14</v>
      </c>
      <c r="F55" s="1">
        <v>82</v>
      </c>
      <c r="G55" s="1">
        <v>54</v>
      </c>
      <c r="H55" s="1">
        <v>31</v>
      </c>
      <c r="I55" s="1">
        <v>18</v>
      </c>
    </row>
    <row r="56" spans="1:9" x14ac:dyDescent="0.35">
      <c r="A56" s="1">
        <v>115</v>
      </c>
      <c r="B56" s="1" t="s">
        <v>128</v>
      </c>
      <c r="C56" s="1" t="s">
        <v>10</v>
      </c>
      <c r="D56" s="1">
        <v>13</v>
      </c>
      <c r="E56" s="1" t="s">
        <v>11</v>
      </c>
      <c r="F56" s="1">
        <v>23</v>
      </c>
      <c r="G56" s="1">
        <v>13</v>
      </c>
      <c r="H56" s="1">
        <v>28</v>
      </c>
      <c r="I56" s="1">
        <v>69</v>
      </c>
    </row>
    <row r="57" spans="1:9" x14ac:dyDescent="0.35">
      <c r="A57" s="1">
        <v>66</v>
      </c>
      <c r="B57" s="1" t="s">
        <v>79</v>
      </c>
      <c r="C57" s="1" t="s">
        <v>10</v>
      </c>
      <c r="D57" s="1">
        <v>14</v>
      </c>
      <c r="E57" s="1" t="s">
        <v>11</v>
      </c>
      <c r="F57" s="1">
        <v>85</v>
      </c>
      <c r="G57" s="1">
        <v>6</v>
      </c>
      <c r="H57" s="1">
        <v>10</v>
      </c>
      <c r="I57" s="1">
        <v>85</v>
      </c>
    </row>
    <row r="58" spans="1:9" x14ac:dyDescent="0.35">
      <c r="A58" s="1">
        <v>103</v>
      </c>
      <c r="B58" s="1" t="s">
        <v>116</v>
      </c>
      <c r="C58" s="1" t="s">
        <v>10</v>
      </c>
      <c r="D58" s="1">
        <v>13</v>
      </c>
      <c r="E58" s="1" t="s">
        <v>11</v>
      </c>
      <c r="F58" s="1">
        <v>2</v>
      </c>
      <c r="G58" s="1">
        <v>19</v>
      </c>
      <c r="H58" s="1">
        <v>48</v>
      </c>
      <c r="I58" s="1">
        <v>52</v>
      </c>
    </row>
    <row r="59" spans="1:9" x14ac:dyDescent="0.35">
      <c r="A59" s="1">
        <v>241</v>
      </c>
      <c r="B59" s="1" t="s">
        <v>251</v>
      </c>
      <c r="C59" s="1" t="s">
        <v>13</v>
      </c>
      <c r="D59" s="1">
        <v>14</v>
      </c>
      <c r="E59" s="1" t="s">
        <v>11</v>
      </c>
      <c r="F59" s="1">
        <v>76</v>
      </c>
      <c r="G59" s="1">
        <v>15</v>
      </c>
      <c r="H59" s="1">
        <v>70</v>
      </c>
      <c r="I59" s="1">
        <v>35</v>
      </c>
    </row>
    <row r="60" spans="1:9" x14ac:dyDescent="0.35">
      <c r="A60" s="1">
        <v>38</v>
      </c>
      <c r="B60" s="1" t="s">
        <v>51</v>
      </c>
      <c r="C60" s="1" t="s">
        <v>13</v>
      </c>
      <c r="D60" s="1">
        <v>14</v>
      </c>
      <c r="E60" s="1" t="s">
        <v>11</v>
      </c>
      <c r="F60" s="1">
        <v>90</v>
      </c>
      <c r="G60" s="1">
        <v>62</v>
      </c>
      <c r="H60" s="1">
        <v>45</v>
      </c>
      <c r="I60" s="1">
        <v>21</v>
      </c>
    </row>
    <row r="61" spans="1:9" x14ac:dyDescent="0.35">
      <c r="A61" s="1">
        <v>90</v>
      </c>
      <c r="B61" s="1" t="s">
        <v>103</v>
      </c>
      <c r="C61" s="1" t="s">
        <v>13</v>
      </c>
      <c r="D61" s="1">
        <v>15</v>
      </c>
      <c r="E61" s="1" t="s">
        <v>11</v>
      </c>
      <c r="F61" s="1">
        <v>64</v>
      </c>
      <c r="G61" s="1">
        <v>20</v>
      </c>
      <c r="H61" s="1">
        <v>86</v>
      </c>
      <c r="I61" s="1">
        <v>84</v>
      </c>
    </row>
    <row r="62" spans="1:9" x14ac:dyDescent="0.35">
      <c r="A62" s="1">
        <v>199</v>
      </c>
      <c r="B62" s="1" t="s">
        <v>210</v>
      </c>
      <c r="C62" s="1" t="s">
        <v>13</v>
      </c>
      <c r="D62" s="1">
        <v>14</v>
      </c>
      <c r="E62" s="1" t="s">
        <v>11</v>
      </c>
      <c r="F62" s="1">
        <v>30</v>
      </c>
      <c r="G62" s="1">
        <v>62</v>
      </c>
      <c r="H62" s="1">
        <v>32</v>
      </c>
      <c r="I62" s="1">
        <v>60</v>
      </c>
    </row>
    <row r="63" spans="1:9" x14ac:dyDescent="0.35">
      <c r="A63" s="1">
        <v>200</v>
      </c>
      <c r="B63" s="1" t="s">
        <v>210</v>
      </c>
      <c r="C63" s="1" t="s">
        <v>10</v>
      </c>
      <c r="D63" s="1">
        <v>15</v>
      </c>
      <c r="E63" s="1" t="s">
        <v>18</v>
      </c>
      <c r="F63" s="1">
        <v>57</v>
      </c>
      <c r="G63" s="1">
        <v>68</v>
      </c>
      <c r="H63" s="1">
        <v>56</v>
      </c>
      <c r="I63" s="1">
        <v>23</v>
      </c>
    </row>
    <row r="64" spans="1:9" x14ac:dyDescent="0.35">
      <c r="A64" s="1">
        <v>114</v>
      </c>
      <c r="B64" s="1" t="s">
        <v>127</v>
      </c>
      <c r="C64" s="1" t="s">
        <v>13</v>
      </c>
      <c r="D64" s="1">
        <v>14</v>
      </c>
      <c r="E64" s="1" t="s">
        <v>18</v>
      </c>
      <c r="F64" s="1">
        <v>41</v>
      </c>
      <c r="G64" s="1">
        <v>52</v>
      </c>
      <c r="H64" s="1">
        <v>29</v>
      </c>
      <c r="I64" s="1">
        <v>21</v>
      </c>
    </row>
    <row r="65" spans="1:9" x14ac:dyDescent="0.35">
      <c r="A65" s="1">
        <v>9</v>
      </c>
      <c r="B65" s="1" t="s">
        <v>22</v>
      </c>
      <c r="C65" s="1" t="s">
        <v>13</v>
      </c>
      <c r="D65" s="1">
        <v>15</v>
      </c>
      <c r="E65" s="1" t="s">
        <v>18</v>
      </c>
      <c r="F65" s="1">
        <v>39</v>
      </c>
      <c r="G65" s="1">
        <v>16</v>
      </c>
      <c r="H65" s="1">
        <v>22</v>
      </c>
      <c r="I65" s="1">
        <v>49</v>
      </c>
    </row>
    <row r="66" spans="1:9" x14ac:dyDescent="0.35">
      <c r="A66" s="1">
        <v>143</v>
      </c>
      <c r="B66" s="1" t="s">
        <v>156</v>
      </c>
      <c r="C66" s="1" t="s">
        <v>13</v>
      </c>
      <c r="D66" s="1">
        <v>13</v>
      </c>
      <c r="E66" s="1" t="s">
        <v>14</v>
      </c>
      <c r="F66" s="1">
        <v>5</v>
      </c>
      <c r="G66" s="1">
        <v>3</v>
      </c>
      <c r="H66" s="1">
        <v>97</v>
      </c>
      <c r="I66" s="1">
        <v>84</v>
      </c>
    </row>
    <row r="67" spans="1:9" x14ac:dyDescent="0.35">
      <c r="A67" s="1">
        <v>94</v>
      </c>
      <c r="B67" s="1" t="s">
        <v>107</v>
      </c>
      <c r="C67" s="1" t="s">
        <v>10</v>
      </c>
      <c r="D67" s="1">
        <v>13</v>
      </c>
      <c r="E67" s="1" t="s">
        <v>18</v>
      </c>
      <c r="F67" s="1">
        <v>43</v>
      </c>
      <c r="G67" s="1">
        <v>65</v>
      </c>
      <c r="H67" s="1">
        <v>18</v>
      </c>
      <c r="I67" s="1">
        <v>26</v>
      </c>
    </row>
    <row r="68" spans="1:9" x14ac:dyDescent="0.35">
      <c r="A68" s="1">
        <v>92</v>
      </c>
      <c r="B68" s="1" t="s">
        <v>105</v>
      </c>
      <c r="C68" s="1" t="s">
        <v>10</v>
      </c>
      <c r="D68" s="1">
        <v>15</v>
      </c>
      <c r="E68" s="1" t="s">
        <v>18</v>
      </c>
      <c r="F68" s="1">
        <v>79</v>
      </c>
      <c r="G68" s="1">
        <v>82</v>
      </c>
      <c r="H68" s="1">
        <v>99</v>
      </c>
      <c r="I68" s="1">
        <v>81</v>
      </c>
    </row>
    <row r="69" spans="1:9" x14ac:dyDescent="0.35">
      <c r="A69" s="1">
        <v>82</v>
      </c>
      <c r="B69" s="1" t="s">
        <v>95</v>
      </c>
      <c r="C69" s="1" t="s">
        <v>13</v>
      </c>
      <c r="D69" s="1">
        <v>15</v>
      </c>
      <c r="E69" s="1" t="s">
        <v>11</v>
      </c>
      <c r="F69" s="1">
        <v>84</v>
      </c>
      <c r="G69" s="1">
        <v>85</v>
      </c>
      <c r="H69" s="1">
        <v>14</v>
      </c>
      <c r="I69" s="1">
        <v>24</v>
      </c>
    </row>
    <row r="70" spans="1:9" x14ac:dyDescent="0.35">
      <c r="A70" s="1">
        <v>148</v>
      </c>
      <c r="B70" s="1" t="s">
        <v>160</v>
      </c>
      <c r="C70" s="1" t="s">
        <v>10</v>
      </c>
      <c r="D70" s="1">
        <v>13</v>
      </c>
      <c r="E70" s="1" t="s">
        <v>14</v>
      </c>
      <c r="F70" s="1">
        <v>92</v>
      </c>
      <c r="G70" s="1">
        <v>67</v>
      </c>
      <c r="H70" s="1">
        <v>13</v>
      </c>
      <c r="I70" s="1">
        <v>25</v>
      </c>
    </row>
    <row r="71" spans="1:9" x14ac:dyDescent="0.35">
      <c r="A71" s="1">
        <v>3</v>
      </c>
      <c r="B71" s="1" t="s">
        <v>15</v>
      </c>
      <c r="C71" s="1" t="s">
        <v>10</v>
      </c>
      <c r="D71" s="1">
        <v>14</v>
      </c>
      <c r="E71" s="1" t="s">
        <v>11</v>
      </c>
      <c r="F71" s="1">
        <v>12</v>
      </c>
      <c r="G71" s="1">
        <v>87</v>
      </c>
      <c r="H71" s="1">
        <v>16</v>
      </c>
      <c r="I71" s="1">
        <v>96</v>
      </c>
    </row>
    <row r="72" spans="1:9" x14ac:dyDescent="0.35">
      <c r="A72" s="1">
        <v>195</v>
      </c>
      <c r="B72" s="1" t="s">
        <v>206</v>
      </c>
      <c r="C72" s="1" t="s">
        <v>13</v>
      </c>
      <c r="D72" s="1">
        <v>15</v>
      </c>
      <c r="E72" s="1" t="s">
        <v>11</v>
      </c>
      <c r="F72" s="1">
        <v>13</v>
      </c>
      <c r="G72" s="1">
        <v>35</v>
      </c>
      <c r="H72" s="1">
        <v>71</v>
      </c>
      <c r="I72" s="1">
        <v>30</v>
      </c>
    </row>
    <row r="73" spans="1:9" x14ac:dyDescent="0.35">
      <c r="A73" s="1">
        <v>77</v>
      </c>
      <c r="B73" s="1" t="s">
        <v>90</v>
      </c>
      <c r="C73" s="1" t="s">
        <v>10</v>
      </c>
      <c r="D73" s="1">
        <v>13</v>
      </c>
      <c r="E73" s="1" t="s">
        <v>14</v>
      </c>
      <c r="F73" s="1">
        <v>27</v>
      </c>
      <c r="G73" s="1">
        <v>2</v>
      </c>
      <c r="H73" s="1">
        <v>63</v>
      </c>
      <c r="I73" s="1">
        <v>100</v>
      </c>
    </row>
    <row r="74" spans="1:9" x14ac:dyDescent="0.35">
      <c r="A74" s="1">
        <v>181</v>
      </c>
      <c r="B74" s="1" t="s">
        <v>192</v>
      </c>
      <c r="C74" s="1" t="s">
        <v>13</v>
      </c>
      <c r="D74" s="1">
        <v>13</v>
      </c>
      <c r="E74" s="1" t="s">
        <v>11</v>
      </c>
      <c r="F74" s="1">
        <v>98</v>
      </c>
      <c r="G74" s="1">
        <v>100</v>
      </c>
      <c r="H74" s="1">
        <v>23</v>
      </c>
      <c r="I74" s="1">
        <v>84</v>
      </c>
    </row>
    <row r="75" spans="1:9" x14ac:dyDescent="0.35">
      <c r="A75" s="1">
        <v>208</v>
      </c>
      <c r="B75" s="1" t="s">
        <v>218</v>
      </c>
      <c r="C75" s="1" t="s">
        <v>13</v>
      </c>
      <c r="D75" s="1">
        <v>13</v>
      </c>
      <c r="E75" s="1" t="s">
        <v>18</v>
      </c>
      <c r="F75" s="1">
        <v>56</v>
      </c>
      <c r="G75" s="1">
        <v>12</v>
      </c>
      <c r="H75" s="1">
        <v>75</v>
      </c>
      <c r="I75" s="1">
        <v>96</v>
      </c>
    </row>
    <row r="76" spans="1:9" x14ac:dyDescent="0.35">
      <c r="A76" s="1">
        <v>4</v>
      </c>
      <c r="B76" s="1" t="s">
        <v>16</v>
      </c>
      <c r="C76" s="1" t="s">
        <v>10</v>
      </c>
      <c r="D76" s="1">
        <v>14</v>
      </c>
      <c r="E76" s="1" t="s">
        <v>14</v>
      </c>
      <c r="F76" s="1">
        <v>15</v>
      </c>
      <c r="G76" s="1">
        <v>53</v>
      </c>
      <c r="H76" s="1">
        <v>82</v>
      </c>
      <c r="I76" s="1">
        <v>33</v>
      </c>
    </row>
    <row r="77" spans="1:9" x14ac:dyDescent="0.35">
      <c r="A77" s="1">
        <v>172</v>
      </c>
      <c r="B77" s="1" t="s">
        <v>183</v>
      </c>
      <c r="C77" s="1" t="s">
        <v>13</v>
      </c>
      <c r="D77" s="1">
        <v>14</v>
      </c>
      <c r="E77" s="1" t="s">
        <v>18</v>
      </c>
      <c r="F77" s="1">
        <v>86</v>
      </c>
      <c r="G77" s="1">
        <v>92</v>
      </c>
      <c r="H77" s="1">
        <v>8</v>
      </c>
      <c r="I77" s="1">
        <v>62</v>
      </c>
    </row>
    <row r="78" spans="1:9" x14ac:dyDescent="0.35">
      <c r="A78" s="1">
        <v>244</v>
      </c>
      <c r="B78" s="1" t="s">
        <v>254</v>
      </c>
      <c r="C78" s="1" t="s">
        <v>13</v>
      </c>
      <c r="D78" s="1">
        <v>13</v>
      </c>
      <c r="E78" s="1" t="s">
        <v>11</v>
      </c>
      <c r="F78" s="1">
        <v>95</v>
      </c>
      <c r="G78" s="1">
        <v>63</v>
      </c>
      <c r="H78" s="1">
        <v>65</v>
      </c>
      <c r="I78" s="1">
        <v>71</v>
      </c>
    </row>
    <row r="79" spans="1:9" x14ac:dyDescent="0.35">
      <c r="A79" s="1">
        <v>18</v>
      </c>
      <c r="B79" s="1" t="s">
        <v>31</v>
      </c>
      <c r="C79" s="1" t="s">
        <v>10</v>
      </c>
      <c r="D79" s="1">
        <v>13</v>
      </c>
      <c r="E79" s="1" t="s">
        <v>14</v>
      </c>
      <c r="F79" s="1">
        <v>5</v>
      </c>
      <c r="G79" s="1">
        <v>89</v>
      </c>
      <c r="H79" s="1">
        <v>25</v>
      </c>
      <c r="I79" s="1">
        <v>23</v>
      </c>
    </row>
    <row r="80" spans="1:9" x14ac:dyDescent="0.35">
      <c r="A80" s="1">
        <v>168</v>
      </c>
      <c r="B80" s="1" t="s">
        <v>31</v>
      </c>
      <c r="C80" s="1" t="s">
        <v>10</v>
      </c>
      <c r="D80" s="1">
        <v>13</v>
      </c>
      <c r="E80" s="1" t="s">
        <v>14</v>
      </c>
      <c r="F80" s="1">
        <v>23</v>
      </c>
      <c r="G80" s="1">
        <v>5</v>
      </c>
      <c r="H80" s="1">
        <v>39</v>
      </c>
      <c r="I80" s="1">
        <v>42</v>
      </c>
    </row>
    <row r="81" spans="1:9" x14ac:dyDescent="0.35">
      <c r="A81" s="1">
        <v>68</v>
      </c>
      <c r="B81" s="1" t="s">
        <v>81</v>
      </c>
      <c r="C81" s="1" t="s">
        <v>13</v>
      </c>
      <c r="D81" s="1">
        <v>15</v>
      </c>
      <c r="E81" s="1" t="s">
        <v>11</v>
      </c>
      <c r="F81" s="1">
        <v>39</v>
      </c>
      <c r="G81" s="1">
        <v>7</v>
      </c>
      <c r="H81" s="1">
        <v>100</v>
      </c>
      <c r="I81" s="1">
        <v>70</v>
      </c>
    </row>
    <row r="82" spans="1:9" x14ac:dyDescent="0.35">
      <c r="A82" s="1">
        <v>11</v>
      </c>
      <c r="B82" s="1" t="s">
        <v>24</v>
      </c>
      <c r="C82" s="1" t="s">
        <v>13</v>
      </c>
      <c r="D82" s="1">
        <v>15</v>
      </c>
      <c r="E82" s="1" t="s">
        <v>11</v>
      </c>
      <c r="F82" s="1">
        <v>100</v>
      </c>
      <c r="G82" s="1">
        <v>93</v>
      </c>
      <c r="H82" s="1">
        <v>87</v>
      </c>
      <c r="I82" s="1">
        <v>81</v>
      </c>
    </row>
    <row r="83" spans="1:9" x14ac:dyDescent="0.35">
      <c r="A83" s="1">
        <v>130</v>
      </c>
      <c r="B83" s="1" t="s">
        <v>143</v>
      </c>
      <c r="C83" s="1" t="s">
        <v>10</v>
      </c>
      <c r="D83" s="1">
        <v>13</v>
      </c>
      <c r="E83" s="1" t="s">
        <v>18</v>
      </c>
      <c r="F83" s="1">
        <v>23</v>
      </c>
      <c r="G83" s="1">
        <v>88</v>
      </c>
      <c r="H83" s="1">
        <v>90</v>
      </c>
      <c r="I83" s="1">
        <v>68</v>
      </c>
    </row>
    <row r="84" spans="1:9" x14ac:dyDescent="0.35">
      <c r="A84" s="1">
        <v>32</v>
      </c>
      <c r="B84" s="1" t="s">
        <v>45</v>
      </c>
      <c r="C84" s="1" t="s">
        <v>10</v>
      </c>
      <c r="D84" s="1">
        <v>15</v>
      </c>
      <c r="E84" s="1" t="s">
        <v>14</v>
      </c>
      <c r="F84" s="1">
        <v>17</v>
      </c>
      <c r="G84" s="1">
        <v>36</v>
      </c>
      <c r="H84" s="1">
        <v>45</v>
      </c>
      <c r="I84" s="1">
        <v>27</v>
      </c>
    </row>
    <row r="85" spans="1:9" x14ac:dyDescent="0.35">
      <c r="A85" s="1">
        <v>197</v>
      </c>
      <c r="B85" s="1" t="s">
        <v>208</v>
      </c>
      <c r="C85" s="1" t="s">
        <v>10</v>
      </c>
      <c r="D85" s="1">
        <v>14</v>
      </c>
      <c r="E85" s="1" t="s">
        <v>18</v>
      </c>
      <c r="F85" s="1">
        <v>82</v>
      </c>
      <c r="G85" s="1">
        <v>4</v>
      </c>
      <c r="H85" s="1">
        <v>56</v>
      </c>
      <c r="I85" s="1">
        <v>22</v>
      </c>
    </row>
    <row r="86" spans="1:9" x14ac:dyDescent="0.35">
      <c r="A86" s="1">
        <v>80</v>
      </c>
      <c r="B86" s="1" t="s">
        <v>93</v>
      </c>
      <c r="C86" s="1" t="s">
        <v>13</v>
      </c>
      <c r="D86" s="1">
        <v>13</v>
      </c>
      <c r="E86" s="1" t="s">
        <v>14</v>
      </c>
      <c r="F86" s="1">
        <v>13</v>
      </c>
      <c r="G86" s="1">
        <v>18</v>
      </c>
      <c r="H86" s="1">
        <v>80</v>
      </c>
      <c r="I86" s="1">
        <v>82</v>
      </c>
    </row>
    <row r="87" spans="1:9" x14ac:dyDescent="0.35">
      <c r="A87" s="1">
        <v>216</v>
      </c>
      <c r="B87" s="1" t="s">
        <v>226</v>
      </c>
      <c r="C87" s="1" t="s">
        <v>13</v>
      </c>
      <c r="D87" s="1">
        <v>15</v>
      </c>
      <c r="E87" s="1" t="s">
        <v>18</v>
      </c>
      <c r="F87" s="1">
        <v>5</v>
      </c>
      <c r="G87" s="1">
        <v>86</v>
      </c>
      <c r="H87" s="1">
        <v>48</v>
      </c>
      <c r="I87" s="1">
        <v>57</v>
      </c>
    </row>
    <row r="88" spans="1:9" x14ac:dyDescent="0.35">
      <c r="A88" s="1">
        <v>155</v>
      </c>
      <c r="B88" s="1" t="s">
        <v>167</v>
      </c>
      <c r="C88" s="1" t="s">
        <v>13</v>
      </c>
      <c r="D88" s="1">
        <v>14</v>
      </c>
      <c r="E88" s="1" t="s">
        <v>11</v>
      </c>
      <c r="F88" s="1">
        <v>32</v>
      </c>
      <c r="G88" s="1">
        <v>3</v>
      </c>
      <c r="H88" s="1">
        <v>69</v>
      </c>
      <c r="I88" s="1">
        <v>96</v>
      </c>
    </row>
    <row r="89" spans="1:9" x14ac:dyDescent="0.35">
      <c r="A89" s="1">
        <v>142</v>
      </c>
      <c r="B89" s="1" t="s">
        <v>155</v>
      </c>
      <c r="C89" s="1" t="s">
        <v>10</v>
      </c>
      <c r="D89" s="1">
        <v>14</v>
      </c>
      <c r="E89" s="1" t="s">
        <v>14</v>
      </c>
      <c r="F89" s="1">
        <v>77</v>
      </c>
      <c r="G89" s="1">
        <v>79</v>
      </c>
      <c r="H89" s="1">
        <v>92</v>
      </c>
      <c r="I89" s="1">
        <v>36</v>
      </c>
    </row>
    <row r="90" spans="1:9" x14ac:dyDescent="0.35">
      <c r="A90" s="1">
        <v>221</v>
      </c>
      <c r="B90" s="1" t="s">
        <v>231</v>
      </c>
      <c r="C90" s="1" t="s">
        <v>13</v>
      </c>
      <c r="D90" s="1">
        <v>14</v>
      </c>
      <c r="E90" s="1" t="s">
        <v>18</v>
      </c>
      <c r="F90" s="1">
        <v>6</v>
      </c>
      <c r="G90" s="1">
        <v>53</v>
      </c>
      <c r="H90" s="1">
        <v>71</v>
      </c>
      <c r="I90" s="1">
        <v>21</v>
      </c>
    </row>
    <row r="91" spans="1:9" x14ac:dyDescent="0.35">
      <c r="A91" s="1">
        <v>170</v>
      </c>
      <c r="B91" s="1" t="s">
        <v>181</v>
      </c>
      <c r="C91" s="1" t="s">
        <v>10</v>
      </c>
      <c r="D91" s="1">
        <v>15</v>
      </c>
      <c r="E91" s="1" t="s">
        <v>14</v>
      </c>
      <c r="F91" s="1">
        <v>38</v>
      </c>
      <c r="G91" s="1">
        <v>17</v>
      </c>
      <c r="H91" s="1">
        <v>76</v>
      </c>
      <c r="I91" s="1">
        <v>26</v>
      </c>
    </row>
    <row r="92" spans="1:9" x14ac:dyDescent="0.35">
      <c r="A92" s="1">
        <v>191</v>
      </c>
      <c r="B92" s="1" t="s">
        <v>202</v>
      </c>
      <c r="C92" s="1" t="s">
        <v>13</v>
      </c>
      <c r="D92" s="1">
        <v>14</v>
      </c>
      <c r="E92" s="1" t="s">
        <v>11</v>
      </c>
      <c r="F92" s="1">
        <v>38</v>
      </c>
      <c r="G92" s="1">
        <v>66</v>
      </c>
      <c r="H92" s="1">
        <v>53</v>
      </c>
      <c r="I92" s="1">
        <v>32</v>
      </c>
    </row>
    <row r="93" spans="1:9" x14ac:dyDescent="0.35">
      <c r="A93" s="1">
        <v>84</v>
      </c>
      <c r="B93" s="1" t="s">
        <v>97</v>
      </c>
      <c r="C93" s="1" t="s">
        <v>13</v>
      </c>
      <c r="D93" s="1">
        <v>13</v>
      </c>
      <c r="E93" s="1" t="s">
        <v>11</v>
      </c>
      <c r="F93" s="1">
        <v>34</v>
      </c>
      <c r="G93" s="1">
        <v>18</v>
      </c>
      <c r="H93" s="1">
        <v>39</v>
      </c>
      <c r="I93" s="1">
        <v>94</v>
      </c>
    </row>
    <row r="94" spans="1:9" x14ac:dyDescent="0.35">
      <c r="A94" s="1">
        <v>213</v>
      </c>
      <c r="B94" s="1" t="s">
        <v>223</v>
      </c>
      <c r="C94" s="1" t="s">
        <v>13</v>
      </c>
      <c r="D94" s="1">
        <v>15</v>
      </c>
      <c r="E94" s="1" t="s">
        <v>11</v>
      </c>
      <c r="F94" s="1">
        <v>63</v>
      </c>
      <c r="G94" s="1">
        <v>92</v>
      </c>
      <c r="H94" s="1">
        <v>38</v>
      </c>
      <c r="I94" s="1">
        <v>60</v>
      </c>
    </row>
    <row r="95" spans="1:9" x14ac:dyDescent="0.35">
      <c r="A95" s="1">
        <v>47</v>
      </c>
      <c r="B95" s="1" t="s">
        <v>60</v>
      </c>
      <c r="C95" s="1" t="s">
        <v>10</v>
      </c>
      <c r="D95" s="1">
        <v>14</v>
      </c>
      <c r="E95" s="1" t="s">
        <v>18</v>
      </c>
      <c r="F95" s="1">
        <v>84</v>
      </c>
      <c r="G95" s="1">
        <v>57</v>
      </c>
      <c r="H95" s="1">
        <v>25</v>
      </c>
      <c r="I95" s="1">
        <v>57</v>
      </c>
    </row>
    <row r="96" spans="1:9" x14ac:dyDescent="0.35">
      <c r="A96" s="1">
        <v>190</v>
      </c>
      <c r="B96" s="1" t="s">
        <v>201</v>
      </c>
      <c r="C96" s="1" t="s">
        <v>13</v>
      </c>
      <c r="D96" s="1">
        <v>13</v>
      </c>
      <c r="E96" s="1" t="s">
        <v>18</v>
      </c>
      <c r="F96" s="1">
        <v>14</v>
      </c>
      <c r="G96" s="1">
        <v>6</v>
      </c>
      <c r="H96" s="1">
        <v>29</v>
      </c>
      <c r="I96" s="1">
        <v>72</v>
      </c>
    </row>
    <row r="97" spans="1:9" x14ac:dyDescent="0.35">
      <c r="A97" s="1">
        <v>207</v>
      </c>
      <c r="B97" s="1" t="s">
        <v>217</v>
      </c>
      <c r="C97" s="1" t="s">
        <v>13</v>
      </c>
      <c r="D97" s="1">
        <v>14</v>
      </c>
      <c r="E97" s="1" t="s">
        <v>11</v>
      </c>
      <c r="F97" s="1">
        <v>49</v>
      </c>
      <c r="G97" s="1">
        <v>48</v>
      </c>
      <c r="H97" s="1">
        <v>81</v>
      </c>
      <c r="I97" s="1">
        <v>44</v>
      </c>
    </row>
    <row r="98" spans="1:9" x14ac:dyDescent="0.35">
      <c r="A98" s="1">
        <v>62</v>
      </c>
      <c r="B98" s="1" t="s">
        <v>75</v>
      </c>
      <c r="C98" s="1" t="s">
        <v>10</v>
      </c>
      <c r="D98" s="1">
        <v>13</v>
      </c>
      <c r="E98" s="1" t="s">
        <v>11</v>
      </c>
      <c r="F98" s="1">
        <v>49</v>
      </c>
      <c r="G98" s="1">
        <v>90</v>
      </c>
      <c r="H98" s="1">
        <v>13</v>
      </c>
      <c r="I98" s="1">
        <v>98</v>
      </c>
    </row>
    <row r="99" spans="1:9" x14ac:dyDescent="0.35">
      <c r="A99" s="1">
        <v>250</v>
      </c>
      <c r="B99" s="1" t="s">
        <v>260</v>
      </c>
      <c r="C99" s="1" t="s">
        <v>13</v>
      </c>
      <c r="D99" s="1">
        <v>15</v>
      </c>
      <c r="E99" s="1" t="s">
        <v>14</v>
      </c>
      <c r="F99" s="1">
        <v>50</v>
      </c>
      <c r="G99" s="1">
        <v>8</v>
      </c>
      <c r="H99" s="1">
        <v>80</v>
      </c>
      <c r="I99" s="1">
        <v>78</v>
      </c>
    </row>
    <row r="100" spans="1:9" x14ac:dyDescent="0.35">
      <c r="A100" s="1">
        <v>165</v>
      </c>
      <c r="B100" s="1" t="s">
        <v>177</v>
      </c>
      <c r="C100" s="1" t="s">
        <v>10</v>
      </c>
      <c r="D100" s="1">
        <v>15</v>
      </c>
      <c r="E100" s="1" t="s">
        <v>11</v>
      </c>
      <c r="F100" s="1">
        <v>35</v>
      </c>
      <c r="G100" s="1">
        <v>39</v>
      </c>
      <c r="H100" s="1">
        <v>61</v>
      </c>
      <c r="I100" s="1">
        <v>9</v>
      </c>
    </row>
    <row r="101" spans="1:9" x14ac:dyDescent="0.35">
      <c r="A101" s="1">
        <v>235</v>
      </c>
      <c r="B101" s="1" t="s">
        <v>245</v>
      </c>
      <c r="C101" s="1" t="s">
        <v>13</v>
      </c>
      <c r="D101" s="1">
        <v>13</v>
      </c>
      <c r="E101" s="1" t="s">
        <v>11</v>
      </c>
      <c r="F101" s="1">
        <v>31</v>
      </c>
      <c r="G101" s="1">
        <v>9</v>
      </c>
      <c r="H101" s="1">
        <v>79</v>
      </c>
      <c r="I101" s="1">
        <v>54</v>
      </c>
    </row>
    <row r="102" spans="1:9" x14ac:dyDescent="0.35">
      <c r="A102" s="1">
        <v>171</v>
      </c>
      <c r="B102" s="1" t="s">
        <v>182</v>
      </c>
      <c r="C102" s="1" t="s">
        <v>10</v>
      </c>
      <c r="D102" s="1">
        <v>15</v>
      </c>
      <c r="E102" s="1" t="s">
        <v>14</v>
      </c>
      <c r="F102" s="1">
        <v>34</v>
      </c>
      <c r="G102" s="1">
        <v>74</v>
      </c>
      <c r="H102" s="1">
        <v>83</v>
      </c>
      <c r="I102" s="1">
        <v>81</v>
      </c>
    </row>
    <row r="103" spans="1:9" x14ac:dyDescent="0.35">
      <c r="A103" s="1">
        <v>125</v>
      </c>
      <c r="B103" s="1" t="s">
        <v>138</v>
      </c>
      <c r="C103" s="1" t="s">
        <v>13</v>
      </c>
      <c r="D103" s="1">
        <v>14</v>
      </c>
      <c r="E103" s="1" t="s">
        <v>14</v>
      </c>
      <c r="F103" s="1">
        <v>68</v>
      </c>
      <c r="G103" s="1">
        <v>20</v>
      </c>
      <c r="H103" s="1">
        <v>21</v>
      </c>
      <c r="I103" s="1">
        <v>81</v>
      </c>
    </row>
    <row r="104" spans="1:9" x14ac:dyDescent="0.35">
      <c r="A104" s="1">
        <v>96</v>
      </c>
      <c r="B104" s="1" t="s">
        <v>109</v>
      </c>
      <c r="C104" s="1" t="s">
        <v>10</v>
      </c>
      <c r="D104" s="1">
        <v>15</v>
      </c>
      <c r="E104" s="1" t="s">
        <v>18</v>
      </c>
      <c r="F104" s="1">
        <v>58</v>
      </c>
      <c r="G104" s="1">
        <v>10</v>
      </c>
      <c r="H104" s="1">
        <v>99</v>
      </c>
      <c r="I104" s="1">
        <v>44</v>
      </c>
    </row>
    <row r="105" spans="1:9" x14ac:dyDescent="0.35">
      <c r="A105" s="1">
        <v>16</v>
      </c>
      <c r="B105" s="1" t="s">
        <v>29</v>
      </c>
      <c r="C105" s="1" t="s">
        <v>13</v>
      </c>
      <c r="D105" s="1">
        <v>15</v>
      </c>
      <c r="E105" s="1" t="s">
        <v>18</v>
      </c>
      <c r="F105" s="1">
        <v>53</v>
      </c>
      <c r="G105" s="1">
        <v>30</v>
      </c>
      <c r="H105" s="1">
        <v>90</v>
      </c>
      <c r="I105" s="1">
        <v>64</v>
      </c>
    </row>
    <row r="106" spans="1:9" x14ac:dyDescent="0.35">
      <c r="A106" s="1">
        <v>229</v>
      </c>
      <c r="B106" s="1" t="s">
        <v>239</v>
      </c>
      <c r="C106" s="1" t="s">
        <v>10</v>
      </c>
      <c r="D106" s="1">
        <v>14</v>
      </c>
      <c r="E106" s="1" t="s">
        <v>11</v>
      </c>
      <c r="F106" s="1">
        <v>4</v>
      </c>
      <c r="G106" s="1">
        <v>15</v>
      </c>
      <c r="H106" s="1">
        <v>6</v>
      </c>
      <c r="I106" s="1">
        <v>32</v>
      </c>
    </row>
    <row r="107" spans="1:9" x14ac:dyDescent="0.35">
      <c r="A107" s="1">
        <v>122</v>
      </c>
      <c r="B107" s="1" t="s">
        <v>135</v>
      </c>
      <c r="C107" s="1" t="s">
        <v>13</v>
      </c>
      <c r="D107" s="1">
        <v>14</v>
      </c>
      <c r="E107" s="1" t="s">
        <v>11</v>
      </c>
      <c r="F107" s="1">
        <v>4</v>
      </c>
      <c r="G107" s="1">
        <v>37</v>
      </c>
      <c r="H107" s="1">
        <v>50</v>
      </c>
      <c r="I107" s="1">
        <v>47</v>
      </c>
    </row>
    <row r="108" spans="1:9" x14ac:dyDescent="0.35">
      <c r="A108" s="1">
        <v>187</v>
      </c>
      <c r="B108" s="1" t="s">
        <v>198</v>
      </c>
      <c r="C108" s="1" t="s">
        <v>13</v>
      </c>
      <c r="D108" s="1">
        <v>14</v>
      </c>
      <c r="E108" s="1" t="s">
        <v>18</v>
      </c>
      <c r="F108" s="1">
        <v>27</v>
      </c>
      <c r="G108" s="1">
        <v>11</v>
      </c>
      <c r="H108" s="1">
        <v>18</v>
      </c>
      <c r="I108" s="1">
        <v>92</v>
      </c>
    </row>
    <row r="109" spans="1:9" x14ac:dyDescent="0.35">
      <c r="A109" s="1">
        <v>14</v>
      </c>
      <c r="B109" s="1" t="s">
        <v>27</v>
      </c>
      <c r="C109" s="1" t="s">
        <v>10</v>
      </c>
      <c r="D109" s="1">
        <v>13</v>
      </c>
      <c r="E109" s="1" t="s">
        <v>14</v>
      </c>
      <c r="F109" s="1">
        <v>93</v>
      </c>
      <c r="G109" s="1">
        <v>38</v>
      </c>
      <c r="H109" s="1">
        <v>39</v>
      </c>
      <c r="I109" s="1">
        <v>93</v>
      </c>
    </row>
    <row r="110" spans="1:9" x14ac:dyDescent="0.35">
      <c r="A110" s="1">
        <v>144</v>
      </c>
      <c r="B110" s="1" t="s">
        <v>157</v>
      </c>
      <c r="C110" s="1" t="s">
        <v>10</v>
      </c>
      <c r="D110" s="1">
        <v>13</v>
      </c>
      <c r="E110" s="1" t="s">
        <v>11</v>
      </c>
      <c r="F110" s="1">
        <v>63</v>
      </c>
      <c r="G110" s="1">
        <v>12</v>
      </c>
      <c r="H110" s="1">
        <v>69</v>
      </c>
      <c r="I110" s="1">
        <v>41</v>
      </c>
    </row>
    <row r="111" spans="1:9" x14ac:dyDescent="0.35">
      <c r="A111" s="1">
        <v>177</v>
      </c>
      <c r="B111" s="1" t="s">
        <v>188</v>
      </c>
      <c r="C111" s="1" t="s">
        <v>13</v>
      </c>
      <c r="D111" s="1">
        <v>13</v>
      </c>
      <c r="E111" s="1" t="s">
        <v>14</v>
      </c>
      <c r="F111" s="1">
        <v>92</v>
      </c>
      <c r="G111" s="1">
        <v>36</v>
      </c>
      <c r="H111" s="1">
        <v>59</v>
      </c>
      <c r="I111" s="1">
        <v>48</v>
      </c>
    </row>
    <row r="112" spans="1:9" x14ac:dyDescent="0.35">
      <c r="A112" s="1">
        <v>166</v>
      </c>
      <c r="B112" s="1" t="s">
        <v>178</v>
      </c>
      <c r="C112" s="1" t="s">
        <v>13</v>
      </c>
      <c r="D112" s="1">
        <v>13</v>
      </c>
      <c r="E112" s="1" t="s">
        <v>11</v>
      </c>
      <c r="F112" s="1">
        <v>67</v>
      </c>
      <c r="G112" s="1">
        <v>21</v>
      </c>
      <c r="H112" s="1">
        <v>60</v>
      </c>
      <c r="I112" s="1">
        <v>40</v>
      </c>
    </row>
    <row r="113" spans="1:9" x14ac:dyDescent="0.35">
      <c r="A113" s="1">
        <v>28</v>
      </c>
      <c r="B113" s="1" t="s">
        <v>41</v>
      </c>
      <c r="C113" s="1" t="s">
        <v>13</v>
      </c>
      <c r="D113" s="1">
        <v>14</v>
      </c>
      <c r="E113" s="1" t="s">
        <v>18</v>
      </c>
      <c r="F113" s="1">
        <v>60</v>
      </c>
      <c r="G113" s="1">
        <v>36</v>
      </c>
      <c r="H113" s="1">
        <v>86</v>
      </c>
      <c r="I113" s="1">
        <v>87</v>
      </c>
    </row>
    <row r="114" spans="1:9" x14ac:dyDescent="0.35">
      <c r="A114" s="1">
        <v>193</v>
      </c>
      <c r="B114" s="1" t="s">
        <v>204</v>
      </c>
      <c r="C114" s="1" t="s">
        <v>13</v>
      </c>
      <c r="D114" s="1">
        <v>15</v>
      </c>
      <c r="E114" s="1" t="s">
        <v>18</v>
      </c>
      <c r="F114" s="1">
        <v>50</v>
      </c>
      <c r="G114" s="1">
        <v>48</v>
      </c>
      <c r="H114" s="1">
        <v>13</v>
      </c>
      <c r="I114" s="1">
        <v>15</v>
      </c>
    </row>
    <row r="115" spans="1:9" x14ac:dyDescent="0.35">
      <c r="A115" s="1">
        <v>136</v>
      </c>
      <c r="B115" s="1" t="s">
        <v>149</v>
      </c>
      <c r="C115" s="1" t="s">
        <v>10</v>
      </c>
      <c r="D115" s="1">
        <v>13</v>
      </c>
      <c r="E115" s="1" t="s">
        <v>11</v>
      </c>
      <c r="F115" s="1">
        <v>5</v>
      </c>
      <c r="G115" s="1">
        <v>10</v>
      </c>
      <c r="H115" s="1">
        <v>75</v>
      </c>
      <c r="I115" s="1">
        <v>38</v>
      </c>
    </row>
    <row r="116" spans="1:9" x14ac:dyDescent="0.35">
      <c r="A116" s="1">
        <v>151</v>
      </c>
      <c r="B116" s="1" t="s">
        <v>163</v>
      </c>
      <c r="C116" s="1" t="s">
        <v>13</v>
      </c>
      <c r="D116" s="1">
        <v>13</v>
      </c>
      <c r="E116" s="1" t="s">
        <v>18</v>
      </c>
      <c r="F116" s="1">
        <v>92</v>
      </c>
      <c r="G116" s="1">
        <v>97</v>
      </c>
      <c r="H116" s="1">
        <v>62</v>
      </c>
      <c r="I116" s="1">
        <v>69</v>
      </c>
    </row>
    <row r="117" spans="1:9" x14ac:dyDescent="0.35">
      <c r="A117" s="1">
        <v>42</v>
      </c>
      <c r="B117" s="1" t="s">
        <v>55</v>
      </c>
      <c r="C117" s="1" t="s">
        <v>10</v>
      </c>
      <c r="D117" s="1">
        <v>13</v>
      </c>
      <c r="E117" s="1" t="s">
        <v>14</v>
      </c>
      <c r="F117" s="1">
        <v>21</v>
      </c>
      <c r="G117" s="1">
        <v>89</v>
      </c>
      <c r="H117" s="1">
        <v>72</v>
      </c>
      <c r="I117" s="1">
        <v>84</v>
      </c>
    </row>
    <row r="118" spans="1:9" x14ac:dyDescent="0.35">
      <c r="A118" s="1">
        <v>101</v>
      </c>
      <c r="B118" s="1" t="s">
        <v>114</v>
      </c>
      <c r="C118" s="1" t="s">
        <v>13</v>
      </c>
      <c r="D118" s="1">
        <v>14</v>
      </c>
      <c r="E118" s="1" t="s">
        <v>18</v>
      </c>
      <c r="F118" s="1">
        <v>64</v>
      </c>
      <c r="G118" s="1">
        <v>68</v>
      </c>
      <c r="H118" s="1">
        <v>89</v>
      </c>
      <c r="I118" s="1">
        <v>43</v>
      </c>
    </row>
    <row r="119" spans="1:9" x14ac:dyDescent="0.35">
      <c r="A119" s="1">
        <v>57</v>
      </c>
      <c r="B119" s="1" t="s">
        <v>70</v>
      </c>
      <c r="C119" s="1" t="s">
        <v>13</v>
      </c>
      <c r="D119" s="1">
        <v>15</v>
      </c>
      <c r="E119" s="1" t="s">
        <v>18</v>
      </c>
      <c r="F119" s="1">
        <v>46</v>
      </c>
      <c r="G119" s="1">
        <v>37</v>
      </c>
      <c r="H119" s="1">
        <v>63</v>
      </c>
      <c r="I119" s="1">
        <v>17</v>
      </c>
    </row>
    <row r="120" spans="1:9" x14ac:dyDescent="0.35">
      <c r="A120" s="1">
        <v>135</v>
      </c>
      <c r="B120" s="1" t="s">
        <v>148</v>
      </c>
      <c r="C120" s="1" t="s">
        <v>10</v>
      </c>
      <c r="D120" s="1">
        <v>13</v>
      </c>
      <c r="E120" s="1" t="s">
        <v>14</v>
      </c>
      <c r="F120" s="1">
        <v>96</v>
      </c>
      <c r="G120" s="1">
        <v>100</v>
      </c>
      <c r="H120" s="1">
        <v>42</v>
      </c>
      <c r="I120" s="1">
        <v>62</v>
      </c>
    </row>
    <row r="121" spans="1:9" x14ac:dyDescent="0.35">
      <c r="A121" s="1">
        <v>7</v>
      </c>
      <c r="B121" s="1" t="s">
        <v>20</v>
      </c>
      <c r="C121" s="1" t="s">
        <v>10</v>
      </c>
      <c r="D121" s="1">
        <v>14</v>
      </c>
      <c r="E121" s="1" t="s">
        <v>14</v>
      </c>
      <c r="F121" s="1">
        <v>38</v>
      </c>
      <c r="G121" s="1">
        <v>74</v>
      </c>
      <c r="H121" s="1">
        <v>54</v>
      </c>
      <c r="I121" s="1">
        <v>60</v>
      </c>
    </row>
    <row r="122" spans="1:9" x14ac:dyDescent="0.35">
      <c r="A122" s="1">
        <v>169</v>
      </c>
      <c r="B122" s="1" t="s">
        <v>180</v>
      </c>
      <c r="C122" s="1" t="s">
        <v>13</v>
      </c>
      <c r="D122" s="1">
        <v>14</v>
      </c>
      <c r="E122" s="1" t="s">
        <v>11</v>
      </c>
      <c r="F122" s="1">
        <v>95</v>
      </c>
      <c r="G122" s="1">
        <v>56</v>
      </c>
      <c r="H122" s="1">
        <v>4</v>
      </c>
      <c r="I122" s="1">
        <v>100</v>
      </c>
    </row>
    <row r="123" spans="1:9" x14ac:dyDescent="0.35">
      <c r="A123" s="1">
        <v>150</v>
      </c>
      <c r="B123" s="1" t="s">
        <v>162</v>
      </c>
      <c r="C123" s="1" t="s">
        <v>10</v>
      </c>
      <c r="D123" s="1">
        <v>13</v>
      </c>
      <c r="E123" s="1" t="s">
        <v>14</v>
      </c>
      <c r="F123" s="1">
        <v>53</v>
      </c>
      <c r="G123" s="1">
        <v>95</v>
      </c>
      <c r="H123" s="1">
        <v>75</v>
      </c>
      <c r="I123" s="1">
        <v>81</v>
      </c>
    </row>
    <row r="124" spans="1:9" x14ac:dyDescent="0.35">
      <c r="A124" s="1">
        <v>141</v>
      </c>
      <c r="B124" s="1" t="s">
        <v>154</v>
      </c>
      <c r="C124" s="1" t="s">
        <v>13</v>
      </c>
      <c r="D124" s="1">
        <v>15</v>
      </c>
      <c r="E124" s="1" t="s">
        <v>11</v>
      </c>
      <c r="F124" s="1">
        <v>52</v>
      </c>
      <c r="G124" s="1">
        <v>30</v>
      </c>
      <c r="H124" s="1">
        <v>14</v>
      </c>
      <c r="I124" s="1">
        <v>24</v>
      </c>
    </row>
    <row r="125" spans="1:9" x14ac:dyDescent="0.35">
      <c r="A125" s="1">
        <v>58</v>
      </c>
      <c r="B125" s="1" t="s">
        <v>71</v>
      </c>
      <c r="C125" s="1" t="s">
        <v>13</v>
      </c>
      <c r="D125" s="1">
        <v>14</v>
      </c>
      <c r="E125" s="1" t="s">
        <v>18</v>
      </c>
      <c r="F125" s="1">
        <v>64</v>
      </c>
      <c r="G125" s="1">
        <v>1</v>
      </c>
      <c r="H125" s="1">
        <v>74</v>
      </c>
      <c r="I125" s="1">
        <v>6</v>
      </c>
    </row>
    <row r="126" spans="1:9" x14ac:dyDescent="0.35">
      <c r="A126" s="1">
        <v>176</v>
      </c>
      <c r="B126" s="1" t="s">
        <v>187</v>
      </c>
      <c r="C126" s="1" t="s">
        <v>13</v>
      </c>
      <c r="D126" s="1">
        <v>14</v>
      </c>
      <c r="E126" s="1" t="s">
        <v>11</v>
      </c>
      <c r="F126" s="1">
        <v>95</v>
      </c>
      <c r="G126" s="1">
        <v>21</v>
      </c>
      <c r="H126" s="1">
        <v>51</v>
      </c>
      <c r="I126" s="1">
        <v>33</v>
      </c>
    </row>
    <row r="127" spans="1:9" x14ac:dyDescent="0.35">
      <c r="A127" s="1">
        <v>45</v>
      </c>
      <c r="B127" s="1" t="s">
        <v>58</v>
      </c>
      <c r="C127" s="1" t="s">
        <v>13</v>
      </c>
      <c r="D127" s="1">
        <v>15</v>
      </c>
      <c r="E127" s="1" t="s">
        <v>11</v>
      </c>
      <c r="F127" s="1">
        <v>65</v>
      </c>
      <c r="G127" s="1">
        <v>7</v>
      </c>
      <c r="H127" s="1">
        <v>57</v>
      </c>
      <c r="I127" s="1">
        <v>27</v>
      </c>
    </row>
    <row r="128" spans="1:9" x14ac:dyDescent="0.35">
      <c r="A128" s="1">
        <v>242</v>
      </c>
      <c r="B128" s="1" t="s">
        <v>252</v>
      </c>
      <c r="C128" s="1" t="s">
        <v>13</v>
      </c>
      <c r="D128" s="1">
        <v>15</v>
      </c>
      <c r="E128" s="1" t="s">
        <v>11</v>
      </c>
      <c r="F128" s="1">
        <v>3</v>
      </c>
      <c r="G128" s="1">
        <v>49</v>
      </c>
      <c r="H128" s="1">
        <v>67</v>
      </c>
      <c r="I128" s="1">
        <v>96</v>
      </c>
    </row>
    <row r="129" spans="1:9" x14ac:dyDescent="0.35">
      <c r="A129" s="1">
        <v>147</v>
      </c>
      <c r="B129" s="1" t="s">
        <v>159</v>
      </c>
      <c r="C129" s="1" t="s">
        <v>13</v>
      </c>
      <c r="D129" s="1">
        <v>15</v>
      </c>
      <c r="E129" s="1" t="s">
        <v>11</v>
      </c>
      <c r="F129" s="1">
        <v>33</v>
      </c>
      <c r="G129" s="1">
        <v>75</v>
      </c>
      <c r="H129" s="1">
        <v>98</v>
      </c>
      <c r="I129" s="1">
        <v>84</v>
      </c>
    </row>
    <row r="130" spans="1:9" x14ac:dyDescent="0.35">
      <c r="A130" s="1">
        <v>192</v>
      </c>
      <c r="B130" s="1" t="s">
        <v>203</v>
      </c>
      <c r="C130" s="1" t="s">
        <v>13</v>
      </c>
      <c r="D130" s="1">
        <v>13</v>
      </c>
      <c r="E130" s="1" t="s">
        <v>14</v>
      </c>
      <c r="F130" s="1">
        <v>39</v>
      </c>
      <c r="G130" s="1">
        <v>14</v>
      </c>
      <c r="H130" s="1">
        <v>77</v>
      </c>
      <c r="I130" s="1">
        <v>53</v>
      </c>
    </row>
    <row r="131" spans="1:9" x14ac:dyDescent="0.35">
      <c r="A131" s="1">
        <v>72</v>
      </c>
      <c r="B131" s="1" t="s">
        <v>85</v>
      </c>
      <c r="C131" s="1" t="s">
        <v>13</v>
      </c>
      <c r="D131" s="1">
        <v>14</v>
      </c>
      <c r="E131" s="1" t="s">
        <v>11</v>
      </c>
      <c r="F131" s="1">
        <v>48</v>
      </c>
      <c r="G131" s="1">
        <v>59</v>
      </c>
      <c r="H131" s="1">
        <v>60</v>
      </c>
      <c r="I131" s="1">
        <v>58</v>
      </c>
    </row>
    <row r="132" spans="1:9" x14ac:dyDescent="0.35">
      <c r="A132" s="1">
        <v>105</v>
      </c>
      <c r="B132" s="1" t="s">
        <v>118</v>
      </c>
      <c r="C132" s="1" t="s">
        <v>13</v>
      </c>
      <c r="D132" s="1">
        <v>13</v>
      </c>
      <c r="E132" s="1" t="s">
        <v>14</v>
      </c>
      <c r="F132" s="1">
        <v>68</v>
      </c>
      <c r="G132" s="1">
        <v>97</v>
      </c>
      <c r="H132" s="1">
        <v>31</v>
      </c>
      <c r="I132" s="1">
        <v>48</v>
      </c>
    </row>
    <row r="133" spans="1:9" x14ac:dyDescent="0.35">
      <c r="A133" s="1">
        <v>134</v>
      </c>
      <c r="B133" s="1" t="s">
        <v>147</v>
      </c>
      <c r="C133" s="1" t="s">
        <v>10</v>
      </c>
      <c r="D133" s="1">
        <v>15</v>
      </c>
      <c r="E133" s="1" t="s">
        <v>11</v>
      </c>
      <c r="F133" s="1">
        <v>77</v>
      </c>
      <c r="G133" s="1">
        <v>25</v>
      </c>
      <c r="H133" s="1">
        <v>85</v>
      </c>
      <c r="I133" s="1">
        <v>26</v>
      </c>
    </row>
    <row r="134" spans="1:9" x14ac:dyDescent="0.35">
      <c r="A134" s="1">
        <v>70</v>
      </c>
      <c r="B134" s="1" t="s">
        <v>83</v>
      </c>
      <c r="C134" s="1" t="s">
        <v>10</v>
      </c>
      <c r="D134" s="1">
        <v>14</v>
      </c>
      <c r="E134" s="1" t="s">
        <v>14</v>
      </c>
      <c r="F134" s="1">
        <v>34</v>
      </c>
      <c r="G134" s="1">
        <v>71</v>
      </c>
      <c r="H134" s="1">
        <v>35</v>
      </c>
      <c r="I134" s="1">
        <v>47</v>
      </c>
    </row>
    <row r="135" spans="1:9" x14ac:dyDescent="0.35">
      <c r="A135" s="1">
        <v>245</v>
      </c>
      <c r="B135" s="1" t="s">
        <v>255</v>
      </c>
      <c r="C135" s="1" t="s">
        <v>10</v>
      </c>
      <c r="D135" s="1">
        <v>15</v>
      </c>
      <c r="E135" s="1" t="s">
        <v>11</v>
      </c>
      <c r="F135" s="1">
        <v>11</v>
      </c>
      <c r="G135" s="1">
        <v>53</v>
      </c>
      <c r="H135" s="1">
        <v>15</v>
      </c>
      <c r="I135" s="1">
        <v>13</v>
      </c>
    </row>
    <row r="136" spans="1:9" x14ac:dyDescent="0.35">
      <c r="A136" s="1">
        <v>5</v>
      </c>
      <c r="B136" s="1" t="s">
        <v>17</v>
      </c>
      <c r="C136" s="1" t="s">
        <v>13</v>
      </c>
      <c r="D136" s="1">
        <v>14</v>
      </c>
      <c r="E136" s="1" t="s">
        <v>18</v>
      </c>
      <c r="F136" s="1">
        <v>43</v>
      </c>
      <c r="G136" s="1">
        <v>6</v>
      </c>
      <c r="H136" s="1">
        <v>3</v>
      </c>
      <c r="I136" s="1">
        <v>21</v>
      </c>
    </row>
    <row r="137" spans="1:9" x14ac:dyDescent="0.35">
      <c r="A137" s="1">
        <v>106</v>
      </c>
      <c r="B137" s="1" t="s">
        <v>119</v>
      </c>
      <c r="C137" s="1" t="s">
        <v>10</v>
      </c>
      <c r="D137" s="1">
        <v>14</v>
      </c>
      <c r="E137" s="1" t="s">
        <v>11</v>
      </c>
      <c r="F137" s="1">
        <v>62</v>
      </c>
      <c r="G137" s="1">
        <v>4</v>
      </c>
      <c r="H137" s="1">
        <v>75</v>
      </c>
      <c r="I137" s="1">
        <v>32</v>
      </c>
    </row>
    <row r="138" spans="1:9" x14ac:dyDescent="0.35">
      <c r="A138" s="1">
        <v>78</v>
      </c>
      <c r="B138" s="1" t="s">
        <v>91</v>
      </c>
      <c r="C138" s="1" t="s">
        <v>13</v>
      </c>
      <c r="D138" s="1">
        <v>15</v>
      </c>
      <c r="E138" s="1" t="s">
        <v>14</v>
      </c>
      <c r="F138" s="1">
        <v>87</v>
      </c>
      <c r="G138" s="1">
        <v>45</v>
      </c>
      <c r="H138" s="1">
        <v>73</v>
      </c>
      <c r="I138" s="1">
        <v>48</v>
      </c>
    </row>
    <row r="139" spans="1:9" x14ac:dyDescent="0.35">
      <c r="A139" s="1">
        <v>41</v>
      </c>
      <c r="B139" s="1" t="s">
        <v>54</v>
      </c>
      <c r="C139" s="1" t="s">
        <v>10</v>
      </c>
      <c r="D139" s="1">
        <v>15</v>
      </c>
      <c r="E139" s="1" t="s">
        <v>11</v>
      </c>
      <c r="F139" s="1">
        <v>10</v>
      </c>
      <c r="G139" s="1">
        <v>78</v>
      </c>
      <c r="H139" s="1">
        <v>56</v>
      </c>
      <c r="I139" s="1">
        <v>41</v>
      </c>
    </row>
    <row r="140" spans="1:9" x14ac:dyDescent="0.35">
      <c r="A140" s="1">
        <v>25</v>
      </c>
      <c r="B140" s="1" t="s">
        <v>38</v>
      </c>
      <c r="C140" s="1" t="s">
        <v>13</v>
      </c>
      <c r="D140" s="1">
        <v>14</v>
      </c>
      <c r="E140" s="1" t="s">
        <v>18</v>
      </c>
      <c r="F140" s="1">
        <v>17</v>
      </c>
      <c r="G140" s="1">
        <v>87</v>
      </c>
      <c r="H140" s="1">
        <v>16</v>
      </c>
      <c r="I140" s="1">
        <v>50</v>
      </c>
    </row>
    <row r="141" spans="1:9" x14ac:dyDescent="0.35">
      <c r="A141" s="1">
        <v>113</v>
      </c>
      <c r="B141" s="1" t="s">
        <v>126</v>
      </c>
      <c r="C141" s="1" t="s">
        <v>13</v>
      </c>
      <c r="D141" s="1">
        <v>13</v>
      </c>
      <c r="E141" s="1" t="s">
        <v>11</v>
      </c>
      <c r="F141" s="1">
        <v>22</v>
      </c>
      <c r="G141" s="1">
        <v>78</v>
      </c>
      <c r="H141" s="1">
        <v>77</v>
      </c>
      <c r="I141" s="1">
        <v>26</v>
      </c>
    </row>
    <row r="142" spans="1:9" x14ac:dyDescent="0.35">
      <c r="A142" s="1">
        <v>227</v>
      </c>
      <c r="B142" s="1" t="s">
        <v>237</v>
      </c>
      <c r="C142" s="1" t="s">
        <v>10</v>
      </c>
      <c r="D142" s="1">
        <v>14</v>
      </c>
      <c r="E142" s="1" t="s">
        <v>11</v>
      </c>
      <c r="F142" s="1">
        <v>22</v>
      </c>
      <c r="G142" s="1">
        <v>26</v>
      </c>
      <c r="H142" s="1">
        <v>1</v>
      </c>
      <c r="I142" s="1">
        <v>28</v>
      </c>
    </row>
    <row r="143" spans="1:9" x14ac:dyDescent="0.35">
      <c r="A143" s="1">
        <v>37</v>
      </c>
      <c r="B143" s="1" t="s">
        <v>50</v>
      </c>
      <c r="C143" s="1" t="s">
        <v>10</v>
      </c>
      <c r="D143" s="1">
        <v>14</v>
      </c>
      <c r="E143" s="1" t="s">
        <v>18</v>
      </c>
      <c r="F143" s="1">
        <v>54</v>
      </c>
      <c r="G143" s="1">
        <v>23</v>
      </c>
      <c r="H143" s="1">
        <v>19</v>
      </c>
      <c r="I143" s="1">
        <v>94</v>
      </c>
    </row>
    <row r="144" spans="1:9" x14ac:dyDescent="0.35">
      <c r="A144" s="1">
        <v>248</v>
      </c>
      <c r="B144" s="1" t="s">
        <v>258</v>
      </c>
      <c r="C144" s="1" t="s">
        <v>13</v>
      </c>
      <c r="D144" s="1">
        <v>15</v>
      </c>
      <c r="E144" s="1" t="s">
        <v>14</v>
      </c>
      <c r="F144" s="1">
        <v>93</v>
      </c>
      <c r="G144" s="1">
        <v>48</v>
      </c>
      <c r="H144" s="1">
        <v>82</v>
      </c>
      <c r="I144" s="1">
        <v>44</v>
      </c>
    </row>
    <row r="145" spans="1:9" x14ac:dyDescent="0.35">
      <c r="A145" s="1">
        <v>50</v>
      </c>
      <c r="B145" s="1" t="s">
        <v>63</v>
      </c>
      <c r="C145" s="1" t="s">
        <v>13</v>
      </c>
      <c r="D145" s="1">
        <v>14</v>
      </c>
      <c r="E145" s="1" t="s">
        <v>18</v>
      </c>
      <c r="F145" s="1">
        <v>94</v>
      </c>
      <c r="G145" s="1">
        <v>15</v>
      </c>
      <c r="H145" s="1">
        <v>66</v>
      </c>
      <c r="I145" s="1">
        <v>34</v>
      </c>
    </row>
    <row r="146" spans="1:9" x14ac:dyDescent="0.35">
      <c r="A146" s="1">
        <v>117</v>
      </c>
      <c r="B146" s="1" t="s">
        <v>130</v>
      </c>
      <c r="C146" s="1" t="s">
        <v>13</v>
      </c>
      <c r="D146" s="1">
        <v>14</v>
      </c>
      <c r="E146" s="1" t="s">
        <v>18</v>
      </c>
      <c r="F146" s="1">
        <v>63</v>
      </c>
      <c r="G146" s="1">
        <v>74</v>
      </c>
      <c r="H146" s="1">
        <v>46</v>
      </c>
      <c r="I146" s="1">
        <v>76</v>
      </c>
    </row>
    <row r="147" spans="1:9" x14ac:dyDescent="0.35">
      <c r="A147" s="1">
        <v>167</v>
      </c>
      <c r="B147" s="1" t="s">
        <v>179</v>
      </c>
      <c r="C147" s="1" t="s">
        <v>13</v>
      </c>
      <c r="D147" s="1">
        <v>15</v>
      </c>
      <c r="E147" s="1" t="s">
        <v>11</v>
      </c>
      <c r="F147" s="1">
        <v>84</v>
      </c>
      <c r="G147" s="1">
        <v>8</v>
      </c>
      <c r="H147" s="1">
        <v>71</v>
      </c>
      <c r="I147" s="1">
        <v>48</v>
      </c>
    </row>
    <row r="148" spans="1:9" x14ac:dyDescent="0.35">
      <c r="A148" s="1">
        <v>230</v>
      </c>
      <c r="B148" s="1" t="s">
        <v>240</v>
      </c>
      <c r="C148" s="1" t="s">
        <v>13</v>
      </c>
      <c r="D148" s="1">
        <v>15</v>
      </c>
      <c r="E148" s="1" t="s">
        <v>11</v>
      </c>
      <c r="F148" s="1">
        <v>15</v>
      </c>
      <c r="G148" s="1">
        <v>26</v>
      </c>
      <c r="H148" s="1">
        <v>83</v>
      </c>
      <c r="I148" s="1">
        <v>75</v>
      </c>
    </row>
    <row r="149" spans="1:9" x14ac:dyDescent="0.35">
      <c r="A149" s="1">
        <v>217</v>
      </c>
      <c r="B149" s="1" t="s">
        <v>227</v>
      </c>
      <c r="C149" s="1" t="s">
        <v>10</v>
      </c>
      <c r="D149" s="1">
        <v>14</v>
      </c>
      <c r="E149" s="1" t="s">
        <v>18</v>
      </c>
      <c r="F149" s="1">
        <v>71</v>
      </c>
      <c r="G149" s="1">
        <v>88</v>
      </c>
      <c r="H149" s="1">
        <v>44</v>
      </c>
      <c r="I149" s="1">
        <v>13</v>
      </c>
    </row>
    <row r="150" spans="1:9" x14ac:dyDescent="0.35">
      <c r="A150" s="1">
        <v>238</v>
      </c>
      <c r="B150" s="1" t="s">
        <v>248</v>
      </c>
      <c r="C150" s="1" t="s">
        <v>10</v>
      </c>
      <c r="D150" s="1">
        <v>15</v>
      </c>
      <c r="E150" s="1" t="s">
        <v>18</v>
      </c>
      <c r="F150" s="1">
        <v>54</v>
      </c>
      <c r="G150" s="1">
        <v>34</v>
      </c>
      <c r="H150" s="1">
        <v>66</v>
      </c>
      <c r="I150" s="1">
        <v>97</v>
      </c>
    </row>
    <row r="151" spans="1:9" x14ac:dyDescent="0.35">
      <c r="A151" s="1">
        <v>223</v>
      </c>
      <c r="B151" s="1" t="s">
        <v>233</v>
      </c>
      <c r="C151" s="1" t="s">
        <v>10</v>
      </c>
      <c r="D151" s="1">
        <v>15</v>
      </c>
      <c r="E151" s="1" t="s">
        <v>14</v>
      </c>
      <c r="F151" s="1">
        <v>92</v>
      </c>
      <c r="G151" s="1">
        <v>76</v>
      </c>
      <c r="H151" s="1">
        <v>72</v>
      </c>
      <c r="I151" s="1">
        <v>71</v>
      </c>
    </row>
    <row r="152" spans="1:9" x14ac:dyDescent="0.35">
      <c r="A152" s="1">
        <v>2</v>
      </c>
      <c r="B152" s="1" t="s">
        <v>12</v>
      </c>
      <c r="C152" s="1" t="s">
        <v>13</v>
      </c>
      <c r="D152" s="1">
        <v>15</v>
      </c>
      <c r="E152" s="1" t="s">
        <v>14</v>
      </c>
      <c r="F152" s="1">
        <v>29</v>
      </c>
      <c r="G152" s="1">
        <v>41</v>
      </c>
      <c r="H152" s="1">
        <v>17</v>
      </c>
      <c r="I152" s="1">
        <v>40</v>
      </c>
    </row>
    <row r="153" spans="1:9" x14ac:dyDescent="0.35">
      <c r="A153" s="1">
        <v>55</v>
      </c>
      <c r="B153" s="1" t="s">
        <v>68</v>
      </c>
      <c r="C153" s="1" t="s">
        <v>13</v>
      </c>
      <c r="D153" s="1">
        <v>15</v>
      </c>
      <c r="E153" s="1" t="s">
        <v>14</v>
      </c>
      <c r="F153" s="1">
        <v>55</v>
      </c>
      <c r="G153" s="1">
        <v>64</v>
      </c>
      <c r="H153" s="1">
        <v>56</v>
      </c>
      <c r="I153" s="1">
        <v>69</v>
      </c>
    </row>
    <row r="154" spans="1:9" x14ac:dyDescent="0.35">
      <c r="A154" s="1">
        <v>133</v>
      </c>
      <c r="B154" s="1" t="s">
        <v>146</v>
      </c>
      <c r="C154" s="1" t="s">
        <v>13</v>
      </c>
      <c r="D154" s="1">
        <v>15</v>
      </c>
      <c r="E154" s="1" t="s">
        <v>18</v>
      </c>
      <c r="F154" s="1">
        <v>19</v>
      </c>
      <c r="G154" s="1">
        <v>14</v>
      </c>
      <c r="H154" s="1">
        <v>43</v>
      </c>
      <c r="I154" s="1">
        <v>68</v>
      </c>
    </row>
    <row r="155" spans="1:9" x14ac:dyDescent="0.35">
      <c r="A155" s="1">
        <v>91</v>
      </c>
      <c r="B155" s="1" t="s">
        <v>104</v>
      </c>
      <c r="C155" s="1" t="s">
        <v>13</v>
      </c>
      <c r="D155" s="1">
        <v>13</v>
      </c>
      <c r="E155" s="1" t="s">
        <v>11</v>
      </c>
      <c r="F155" s="1">
        <v>23</v>
      </c>
      <c r="G155" s="1">
        <v>2</v>
      </c>
      <c r="H155" s="1">
        <v>42</v>
      </c>
      <c r="I155" s="1">
        <v>43</v>
      </c>
    </row>
    <row r="156" spans="1:9" x14ac:dyDescent="0.35">
      <c r="A156" s="1">
        <v>30</v>
      </c>
      <c r="B156" s="1" t="s">
        <v>43</v>
      </c>
      <c r="C156" s="1" t="s">
        <v>13</v>
      </c>
      <c r="D156" s="1">
        <v>13</v>
      </c>
      <c r="E156" s="1" t="s">
        <v>11</v>
      </c>
      <c r="F156" s="1">
        <v>95</v>
      </c>
      <c r="G156" s="1">
        <v>65</v>
      </c>
      <c r="H156" s="1">
        <v>25</v>
      </c>
      <c r="I156" s="1">
        <v>91</v>
      </c>
    </row>
    <row r="157" spans="1:9" x14ac:dyDescent="0.35">
      <c r="A157" s="1">
        <v>100</v>
      </c>
      <c r="B157" s="1" t="s">
        <v>113</v>
      </c>
      <c r="C157" s="1" t="s">
        <v>10</v>
      </c>
      <c r="D157" s="1">
        <v>15</v>
      </c>
      <c r="E157" s="1" t="s">
        <v>18</v>
      </c>
      <c r="F157" s="1">
        <v>66</v>
      </c>
      <c r="G157" s="1">
        <v>20</v>
      </c>
      <c r="H157" s="1">
        <v>76</v>
      </c>
      <c r="I157" s="1">
        <v>30</v>
      </c>
    </row>
    <row r="158" spans="1:9" x14ac:dyDescent="0.35">
      <c r="A158" s="1">
        <v>73</v>
      </c>
      <c r="B158" s="1" t="s">
        <v>86</v>
      </c>
      <c r="C158" s="1" t="s">
        <v>13</v>
      </c>
      <c r="D158" s="1">
        <v>13</v>
      </c>
      <c r="E158" s="1" t="s">
        <v>18</v>
      </c>
      <c r="F158" s="1">
        <v>72</v>
      </c>
      <c r="G158" s="1">
        <v>78</v>
      </c>
      <c r="H158" s="1">
        <v>40</v>
      </c>
      <c r="I158" s="1">
        <v>78</v>
      </c>
    </row>
    <row r="159" spans="1:9" x14ac:dyDescent="0.35">
      <c r="A159" s="1">
        <v>40</v>
      </c>
      <c r="B159" s="1" t="s">
        <v>53</v>
      </c>
      <c r="C159" s="1" t="s">
        <v>13</v>
      </c>
      <c r="D159" s="1">
        <v>13</v>
      </c>
      <c r="E159" s="1" t="s">
        <v>14</v>
      </c>
      <c r="F159" s="1">
        <v>100</v>
      </c>
      <c r="G159" s="1">
        <v>52</v>
      </c>
      <c r="H159" s="1">
        <v>89</v>
      </c>
      <c r="I159" s="1">
        <v>76</v>
      </c>
    </row>
    <row r="160" spans="1:9" x14ac:dyDescent="0.35">
      <c r="A160" s="1">
        <v>48</v>
      </c>
      <c r="B160" s="1" t="s">
        <v>61</v>
      </c>
      <c r="C160" s="1" t="s">
        <v>10</v>
      </c>
      <c r="D160" s="1">
        <v>15</v>
      </c>
      <c r="E160" s="1" t="s">
        <v>11</v>
      </c>
      <c r="F160" s="1">
        <v>78</v>
      </c>
      <c r="G160" s="1">
        <v>58</v>
      </c>
      <c r="H160" s="1">
        <v>1</v>
      </c>
      <c r="I160" s="1">
        <v>33</v>
      </c>
    </row>
    <row r="161" spans="1:9" x14ac:dyDescent="0.35">
      <c r="A161" s="1">
        <v>6</v>
      </c>
      <c r="B161" s="1" t="s">
        <v>19</v>
      </c>
      <c r="C161" s="1" t="s">
        <v>10</v>
      </c>
      <c r="D161" s="1">
        <v>14</v>
      </c>
      <c r="E161" s="1" t="s">
        <v>11</v>
      </c>
      <c r="F161" s="1">
        <v>98</v>
      </c>
      <c r="G161" s="1">
        <v>51</v>
      </c>
      <c r="H161" s="1">
        <v>85</v>
      </c>
      <c r="I161" s="1">
        <v>76</v>
      </c>
    </row>
    <row r="162" spans="1:9" x14ac:dyDescent="0.35">
      <c r="A162" s="1">
        <v>174</v>
      </c>
      <c r="B162" s="1" t="s">
        <v>185</v>
      </c>
      <c r="C162" s="1" t="s">
        <v>13</v>
      </c>
      <c r="D162" s="1">
        <v>14</v>
      </c>
      <c r="E162" s="1" t="s">
        <v>18</v>
      </c>
      <c r="F162" s="1">
        <v>94</v>
      </c>
      <c r="G162" s="1">
        <v>28</v>
      </c>
      <c r="H162" s="1">
        <v>6</v>
      </c>
      <c r="I162" s="1">
        <v>9</v>
      </c>
    </row>
    <row r="163" spans="1:9" x14ac:dyDescent="0.35">
      <c r="A163" s="1">
        <v>63</v>
      </c>
      <c r="B163" s="1" t="s">
        <v>76</v>
      </c>
      <c r="C163" s="1" t="s">
        <v>13</v>
      </c>
      <c r="D163" s="1">
        <v>14</v>
      </c>
      <c r="E163" s="1" t="s">
        <v>18</v>
      </c>
      <c r="F163" s="1">
        <v>16</v>
      </c>
      <c r="G163" s="1">
        <v>45</v>
      </c>
      <c r="H163" s="1">
        <v>44</v>
      </c>
      <c r="I163" s="1">
        <v>5</v>
      </c>
    </row>
    <row r="164" spans="1:9" x14ac:dyDescent="0.35">
      <c r="A164" s="1">
        <v>112</v>
      </c>
      <c r="B164" s="1" t="s">
        <v>125</v>
      </c>
      <c r="C164" s="1" t="s">
        <v>10</v>
      </c>
      <c r="D164" s="1">
        <v>15</v>
      </c>
      <c r="E164" s="1" t="s">
        <v>18</v>
      </c>
      <c r="F164" s="1">
        <v>23</v>
      </c>
      <c r="G164" s="1">
        <v>65</v>
      </c>
      <c r="H164" s="1">
        <v>72</v>
      </c>
      <c r="I164" s="1">
        <v>51</v>
      </c>
    </row>
    <row r="165" spans="1:9" x14ac:dyDescent="0.35">
      <c r="A165" s="1">
        <v>232</v>
      </c>
      <c r="B165" s="1" t="s">
        <v>242</v>
      </c>
      <c r="C165" s="1" t="s">
        <v>13</v>
      </c>
      <c r="D165" s="1">
        <v>13</v>
      </c>
      <c r="E165" s="1" t="s">
        <v>18</v>
      </c>
      <c r="F165" s="1">
        <v>81</v>
      </c>
      <c r="G165" s="1">
        <v>45</v>
      </c>
      <c r="H165" s="1">
        <v>22</v>
      </c>
      <c r="I165" s="1">
        <v>36</v>
      </c>
    </row>
    <row r="166" spans="1:9" x14ac:dyDescent="0.35">
      <c r="A166" s="1">
        <v>228</v>
      </c>
      <c r="B166" s="1" t="s">
        <v>238</v>
      </c>
      <c r="C166" s="1" t="s">
        <v>10</v>
      </c>
      <c r="D166" s="1">
        <v>14</v>
      </c>
      <c r="E166" s="1" t="s">
        <v>14</v>
      </c>
      <c r="F166" s="1">
        <v>78</v>
      </c>
      <c r="G166" s="1">
        <v>63</v>
      </c>
      <c r="H166" s="1">
        <v>62</v>
      </c>
      <c r="I166" s="1">
        <v>38</v>
      </c>
    </row>
    <row r="167" spans="1:9" x14ac:dyDescent="0.35">
      <c r="A167" s="1">
        <v>23</v>
      </c>
      <c r="B167" s="1" t="s">
        <v>36</v>
      </c>
      <c r="C167" s="1" t="s">
        <v>10</v>
      </c>
      <c r="D167" s="1">
        <v>13</v>
      </c>
      <c r="E167" s="1" t="s">
        <v>11</v>
      </c>
      <c r="F167" s="1">
        <v>5</v>
      </c>
      <c r="G167" s="1">
        <v>83</v>
      </c>
      <c r="H167" s="1">
        <v>19</v>
      </c>
      <c r="I167" s="1">
        <v>39</v>
      </c>
    </row>
    <row r="168" spans="1:9" x14ac:dyDescent="0.35">
      <c r="A168" s="1">
        <v>13</v>
      </c>
      <c r="B168" s="1" t="s">
        <v>26</v>
      </c>
      <c r="C168" s="1" t="s">
        <v>13</v>
      </c>
      <c r="D168" s="1">
        <v>15</v>
      </c>
      <c r="E168" s="1" t="s">
        <v>18</v>
      </c>
      <c r="F168" s="1">
        <v>65</v>
      </c>
      <c r="G168" s="1">
        <v>89</v>
      </c>
      <c r="H168" s="1">
        <v>96</v>
      </c>
      <c r="I168" s="1">
        <v>34</v>
      </c>
    </row>
    <row r="169" spans="1:9" x14ac:dyDescent="0.35">
      <c r="A169" s="1">
        <v>154</v>
      </c>
      <c r="B169" s="1" t="s">
        <v>166</v>
      </c>
      <c r="C169" s="1" t="s">
        <v>10</v>
      </c>
      <c r="D169" s="1">
        <v>14</v>
      </c>
      <c r="E169" s="1" t="s">
        <v>18</v>
      </c>
      <c r="F169" s="1">
        <v>47</v>
      </c>
      <c r="G169" s="1">
        <v>16</v>
      </c>
      <c r="H169" s="1">
        <v>55</v>
      </c>
      <c r="I169" s="1">
        <v>21</v>
      </c>
    </row>
    <row r="170" spans="1:9" x14ac:dyDescent="0.35">
      <c r="A170" s="1">
        <v>15</v>
      </c>
      <c r="B170" s="1" t="s">
        <v>28</v>
      </c>
      <c r="C170" s="1" t="s">
        <v>10</v>
      </c>
      <c r="D170" s="1">
        <v>13</v>
      </c>
      <c r="E170" s="1" t="s">
        <v>14</v>
      </c>
      <c r="F170" s="1">
        <v>98</v>
      </c>
      <c r="G170" s="1">
        <v>18</v>
      </c>
      <c r="H170" s="1">
        <v>84</v>
      </c>
      <c r="I170" s="1">
        <v>74</v>
      </c>
    </row>
    <row r="171" spans="1:9" x14ac:dyDescent="0.35">
      <c r="A171" s="1">
        <v>93</v>
      </c>
      <c r="B171" s="1" t="s">
        <v>106</v>
      </c>
      <c r="C171" s="1" t="s">
        <v>10</v>
      </c>
      <c r="D171" s="1">
        <v>15</v>
      </c>
      <c r="E171" s="1" t="s">
        <v>18</v>
      </c>
      <c r="F171" s="1">
        <v>22</v>
      </c>
      <c r="G171" s="1">
        <v>86</v>
      </c>
      <c r="H171" s="1">
        <v>9</v>
      </c>
      <c r="I171" s="1">
        <v>38</v>
      </c>
    </row>
    <row r="172" spans="1:9" x14ac:dyDescent="0.35">
      <c r="A172" s="1">
        <v>243</v>
      </c>
      <c r="B172" s="1" t="s">
        <v>253</v>
      </c>
      <c r="C172" s="1" t="s">
        <v>10</v>
      </c>
      <c r="D172" s="1">
        <v>13</v>
      </c>
      <c r="E172" s="1" t="s">
        <v>14</v>
      </c>
      <c r="F172" s="1">
        <v>17</v>
      </c>
      <c r="G172" s="1">
        <v>24</v>
      </c>
      <c r="H172" s="1">
        <v>41</v>
      </c>
      <c r="I172" s="1">
        <v>21</v>
      </c>
    </row>
    <row r="173" spans="1:9" x14ac:dyDescent="0.35">
      <c r="A173" s="1">
        <v>234</v>
      </c>
      <c r="B173" s="1" t="s">
        <v>244</v>
      </c>
      <c r="C173" s="1" t="s">
        <v>13</v>
      </c>
      <c r="D173" s="1">
        <v>15</v>
      </c>
      <c r="E173" s="1" t="s">
        <v>11</v>
      </c>
      <c r="F173" s="1">
        <v>91</v>
      </c>
      <c r="G173" s="1">
        <v>33</v>
      </c>
      <c r="H173" s="1">
        <v>71</v>
      </c>
      <c r="I173" s="1">
        <v>81</v>
      </c>
    </row>
    <row r="174" spans="1:9" x14ac:dyDescent="0.35">
      <c r="A174" s="1">
        <v>178</v>
      </c>
      <c r="B174" s="1" t="s">
        <v>189</v>
      </c>
      <c r="C174" s="1" t="s">
        <v>10</v>
      </c>
      <c r="D174" s="1">
        <v>15</v>
      </c>
      <c r="E174" s="1" t="s">
        <v>18</v>
      </c>
      <c r="F174" s="1">
        <v>87</v>
      </c>
      <c r="G174" s="1">
        <v>39</v>
      </c>
      <c r="H174" s="1">
        <v>48</v>
      </c>
      <c r="I174" s="1">
        <v>53</v>
      </c>
    </row>
    <row r="175" spans="1:9" x14ac:dyDescent="0.35">
      <c r="A175" s="1">
        <v>65</v>
      </c>
      <c r="B175" s="1" t="s">
        <v>78</v>
      </c>
      <c r="C175" s="1" t="s">
        <v>10</v>
      </c>
      <c r="D175" s="1">
        <v>14</v>
      </c>
      <c r="E175" s="1" t="s">
        <v>11</v>
      </c>
      <c r="F175" s="1">
        <v>88</v>
      </c>
      <c r="G175" s="1">
        <v>72</v>
      </c>
      <c r="H175" s="1">
        <v>31</v>
      </c>
      <c r="I175" s="1">
        <v>27</v>
      </c>
    </row>
    <row r="176" spans="1:9" x14ac:dyDescent="0.35">
      <c r="A176" s="1">
        <v>236</v>
      </c>
      <c r="B176" s="1" t="s">
        <v>246</v>
      </c>
      <c r="C176" s="1" t="s">
        <v>10</v>
      </c>
      <c r="D176" s="1">
        <v>15</v>
      </c>
      <c r="E176" s="1" t="s">
        <v>14</v>
      </c>
      <c r="F176" s="1">
        <v>98</v>
      </c>
      <c r="G176" s="1">
        <v>30</v>
      </c>
      <c r="H176" s="1">
        <v>37</v>
      </c>
      <c r="I176" s="1">
        <v>56</v>
      </c>
    </row>
    <row r="177" spans="1:9" x14ac:dyDescent="0.35">
      <c r="A177" s="1">
        <v>222</v>
      </c>
      <c r="B177" s="1" t="s">
        <v>232</v>
      </c>
      <c r="C177" s="1" t="s">
        <v>10</v>
      </c>
      <c r="D177" s="1">
        <v>13</v>
      </c>
      <c r="E177" s="1" t="s">
        <v>18</v>
      </c>
      <c r="F177" s="1">
        <v>60</v>
      </c>
      <c r="G177" s="1">
        <v>52</v>
      </c>
      <c r="H177" s="1">
        <v>85</v>
      </c>
      <c r="I177" s="1">
        <v>39</v>
      </c>
    </row>
    <row r="178" spans="1:9" x14ac:dyDescent="0.35">
      <c r="A178" s="1">
        <v>204</v>
      </c>
      <c r="B178" s="1" t="s">
        <v>214</v>
      </c>
      <c r="C178" s="1" t="s">
        <v>13</v>
      </c>
      <c r="D178" s="1">
        <v>14</v>
      </c>
      <c r="E178" s="1" t="s">
        <v>14</v>
      </c>
      <c r="F178" s="1">
        <v>84</v>
      </c>
      <c r="G178" s="1">
        <v>10</v>
      </c>
      <c r="H178" s="1">
        <v>71</v>
      </c>
      <c r="I178" s="1">
        <v>8</v>
      </c>
    </row>
    <row r="179" spans="1:9" x14ac:dyDescent="0.35">
      <c r="A179" s="1">
        <v>246</v>
      </c>
      <c r="B179" s="1" t="s">
        <v>256</v>
      </c>
      <c r="C179" s="1" t="s">
        <v>13</v>
      </c>
      <c r="D179" s="1">
        <v>13</v>
      </c>
      <c r="E179" s="1" t="s">
        <v>11</v>
      </c>
      <c r="F179" s="1">
        <v>28</v>
      </c>
      <c r="G179" s="1">
        <v>15</v>
      </c>
      <c r="H179" s="1">
        <v>25</v>
      </c>
      <c r="I179" s="1">
        <v>10</v>
      </c>
    </row>
    <row r="180" spans="1:9" x14ac:dyDescent="0.35">
      <c r="A180" s="1">
        <v>69</v>
      </c>
      <c r="B180" s="1" t="s">
        <v>82</v>
      </c>
      <c r="C180" s="1" t="s">
        <v>10</v>
      </c>
      <c r="D180" s="1">
        <v>15</v>
      </c>
      <c r="E180" s="1" t="s">
        <v>18</v>
      </c>
      <c r="F180" s="1">
        <v>84</v>
      </c>
      <c r="G180" s="1">
        <v>97</v>
      </c>
      <c r="H180" s="1">
        <v>70</v>
      </c>
      <c r="I180" s="1">
        <v>96</v>
      </c>
    </row>
    <row r="181" spans="1:9" x14ac:dyDescent="0.35">
      <c r="A181" s="1">
        <v>196</v>
      </c>
      <c r="B181" s="1" t="s">
        <v>207</v>
      </c>
      <c r="C181" s="1" t="s">
        <v>13</v>
      </c>
      <c r="D181" s="1">
        <v>14</v>
      </c>
      <c r="E181" s="1" t="s">
        <v>18</v>
      </c>
      <c r="F181" s="1">
        <v>92</v>
      </c>
      <c r="G181" s="1">
        <v>57</v>
      </c>
      <c r="H181" s="1">
        <v>31</v>
      </c>
      <c r="I181" s="1">
        <v>75</v>
      </c>
    </row>
    <row r="182" spans="1:9" x14ac:dyDescent="0.35">
      <c r="A182" s="1">
        <v>203</v>
      </c>
      <c r="B182" s="1" t="s">
        <v>213</v>
      </c>
      <c r="C182" s="1" t="s">
        <v>13</v>
      </c>
      <c r="D182" s="1">
        <v>14</v>
      </c>
      <c r="E182" s="1" t="s">
        <v>14</v>
      </c>
      <c r="F182" s="1">
        <v>45</v>
      </c>
      <c r="G182" s="1">
        <v>21</v>
      </c>
      <c r="H182" s="1">
        <v>61</v>
      </c>
      <c r="I182" s="1">
        <v>13</v>
      </c>
    </row>
    <row r="183" spans="1:9" x14ac:dyDescent="0.35">
      <c r="A183" s="1">
        <v>189</v>
      </c>
      <c r="B183" s="1" t="s">
        <v>200</v>
      </c>
      <c r="C183" s="1" t="s">
        <v>10</v>
      </c>
      <c r="D183" s="1">
        <v>15</v>
      </c>
      <c r="E183" s="1" t="s">
        <v>11</v>
      </c>
      <c r="F183" s="1">
        <v>87</v>
      </c>
      <c r="G183" s="1">
        <v>21</v>
      </c>
      <c r="H183" s="1">
        <v>41</v>
      </c>
      <c r="I183" s="1">
        <v>24</v>
      </c>
    </row>
    <row r="184" spans="1:9" x14ac:dyDescent="0.35">
      <c r="A184" s="1">
        <v>56</v>
      </c>
      <c r="B184" s="1" t="s">
        <v>69</v>
      </c>
      <c r="C184" s="1" t="s">
        <v>10</v>
      </c>
      <c r="D184" s="1">
        <v>14</v>
      </c>
      <c r="E184" s="1" t="s">
        <v>14</v>
      </c>
      <c r="F184" s="1">
        <v>53</v>
      </c>
      <c r="G184" s="1">
        <v>53</v>
      </c>
      <c r="H184" s="1">
        <v>49</v>
      </c>
      <c r="I184" s="1">
        <v>43</v>
      </c>
    </row>
    <row r="185" spans="1:9" x14ac:dyDescent="0.35">
      <c r="A185" s="1">
        <v>194</v>
      </c>
      <c r="B185" s="1" t="s">
        <v>205</v>
      </c>
      <c r="C185" s="1" t="s">
        <v>10</v>
      </c>
      <c r="D185" s="1">
        <v>13</v>
      </c>
      <c r="E185" s="1" t="s">
        <v>14</v>
      </c>
      <c r="F185" s="1">
        <v>48</v>
      </c>
      <c r="G185" s="1">
        <v>4</v>
      </c>
      <c r="H185" s="1">
        <v>79</v>
      </c>
      <c r="I185" s="1">
        <v>76</v>
      </c>
    </row>
    <row r="186" spans="1:9" x14ac:dyDescent="0.35">
      <c r="A186" s="1">
        <v>19</v>
      </c>
      <c r="B186" s="1" t="s">
        <v>32</v>
      </c>
      <c r="C186" s="1" t="s">
        <v>10</v>
      </c>
      <c r="D186" s="1">
        <v>13</v>
      </c>
      <c r="E186" s="1" t="s">
        <v>14</v>
      </c>
      <c r="F186" s="1">
        <v>62</v>
      </c>
      <c r="G186" s="1">
        <v>77</v>
      </c>
      <c r="H186" s="1">
        <v>75</v>
      </c>
      <c r="I186" s="1">
        <v>72</v>
      </c>
    </row>
    <row r="187" spans="1:9" x14ac:dyDescent="0.35">
      <c r="A187" s="1">
        <v>124</v>
      </c>
      <c r="B187" s="1" t="s">
        <v>137</v>
      </c>
      <c r="C187" s="1" t="s">
        <v>10</v>
      </c>
      <c r="D187" s="1">
        <v>15</v>
      </c>
      <c r="E187" s="1" t="s">
        <v>14</v>
      </c>
      <c r="F187" s="1">
        <v>70</v>
      </c>
      <c r="G187" s="1">
        <v>75</v>
      </c>
      <c r="H187" s="1">
        <v>21</v>
      </c>
      <c r="I187" s="1">
        <v>99</v>
      </c>
    </row>
    <row r="188" spans="1:9" x14ac:dyDescent="0.35">
      <c r="A188" s="1">
        <v>67</v>
      </c>
      <c r="B188" s="1" t="s">
        <v>80</v>
      </c>
      <c r="C188" s="1" t="s">
        <v>10</v>
      </c>
      <c r="D188" s="1">
        <v>15</v>
      </c>
      <c r="E188" s="1" t="s">
        <v>11</v>
      </c>
      <c r="F188" s="1">
        <v>45</v>
      </c>
      <c r="G188" s="1">
        <v>41</v>
      </c>
      <c r="H188" s="1">
        <v>26</v>
      </c>
      <c r="I188" s="1">
        <v>12</v>
      </c>
    </row>
    <row r="189" spans="1:9" x14ac:dyDescent="0.35">
      <c r="A189" s="1">
        <v>163</v>
      </c>
      <c r="B189" s="1" t="s">
        <v>175</v>
      </c>
      <c r="C189" s="1" t="s">
        <v>13</v>
      </c>
      <c r="D189" s="1">
        <v>15</v>
      </c>
      <c r="E189" s="1" t="s">
        <v>14</v>
      </c>
      <c r="F189" s="1">
        <v>44</v>
      </c>
      <c r="G189" s="1">
        <v>47</v>
      </c>
      <c r="H189" s="1">
        <v>43</v>
      </c>
      <c r="I189" s="1">
        <v>55</v>
      </c>
    </row>
    <row r="190" spans="1:9" x14ac:dyDescent="0.35">
      <c r="A190" s="1">
        <v>126</v>
      </c>
      <c r="B190" s="1" t="s">
        <v>139</v>
      </c>
      <c r="C190" s="1" t="s">
        <v>13</v>
      </c>
      <c r="D190" s="1">
        <v>15</v>
      </c>
      <c r="E190" s="1" t="s">
        <v>18</v>
      </c>
      <c r="F190" s="1">
        <v>29</v>
      </c>
      <c r="G190" s="1">
        <v>6</v>
      </c>
      <c r="H190" s="1">
        <v>43</v>
      </c>
      <c r="I190" s="1">
        <v>85</v>
      </c>
    </row>
    <row r="191" spans="1:9" x14ac:dyDescent="0.35">
      <c r="A191" s="1">
        <v>157</v>
      </c>
      <c r="B191" s="1" t="s">
        <v>169</v>
      </c>
      <c r="C191" s="1" t="s">
        <v>13</v>
      </c>
      <c r="D191" s="1">
        <v>15</v>
      </c>
      <c r="E191" s="1" t="s">
        <v>11</v>
      </c>
      <c r="F191" s="1">
        <v>67</v>
      </c>
      <c r="G191" s="1">
        <v>88</v>
      </c>
      <c r="H191" s="1">
        <v>41</v>
      </c>
      <c r="I191" s="1">
        <v>8</v>
      </c>
    </row>
    <row r="192" spans="1:9" x14ac:dyDescent="0.35">
      <c r="A192" s="1">
        <v>121</v>
      </c>
      <c r="B192" s="1" t="s">
        <v>134</v>
      </c>
      <c r="C192" s="1" t="s">
        <v>13</v>
      </c>
      <c r="D192" s="1">
        <v>13</v>
      </c>
      <c r="E192" s="1" t="s">
        <v>18</v>
      </c>
      <c r="F192" s="1">
        <v>79</v>
      </c>
      <c r="G192" s="1">
        <v>88</v>
      </c>
      <c r="H192" s="1">
        <v>96</v>
      </c>
      <c r="I192" s="1">
        <v>93</v>
      </c>
    </row>
    <row r="193" spans="1:9" x14ac:dyDescent="0.35">
      <c r="A193" s="1">
        <v>160</v>
      </c>
      <c r="B193" s="1" t="s">
        <v>172</v>
      </c>
      <c r="C193" s="1" t="s">
        <v>13</v>
      </c>
      <c r="D193" s="1">
        <v>14</v>
      </c>
      <c r="E193" s="1" t="s">
        <v>14</v>
      </c>
      <c r="F193" s="1">
        <v>61</v>
      </c>
      <c r="G193" s="1">
        <v>89</v>
      </c>
      <c r="H193" s="1">
        <v>70</v>
      </c>
      <c r="I193" s="1">
        <v>68</v>
      </c>
    </row>
    <row r="194" spans="1:9" x14ac:dyDescent="0.35">
      <c r="A194" s="1">
        <v>17</v>
      </c>
      <c r="B194" s="1" t="s">
        <v>30</v>
      </c>
      <c r="C194" s="1" t="s">
        <v>13</v>
      </c>
      <c r="D194" s="1">
        <v>13</v>
      </c>
      <c r="E194" s="1" t="s">
        <v>18</v>
      </c>
      <c r="F194" s="1">
        <v>91</v>
      </c>
      <c r="G194" s="1">
        <v>45</v>
      </c>
      <c r="H194" s="1">
        <v>44</v>
      </c>
      <c r="I194" s="1">
        <v>45</v>
      </c>
    </row>
    <row r="195" spans="1:9" x14ac:dyDescent="0.35">
      <c r="A195" s="1">
        <v>162</v>
      </c>
      <c r="B195" s="1" t="s">
        <v>174</v>
      </c>
      <c r="C195" s="1" t="s">
        <v>10</v>
      </c>
      <c r="D195" s="1">
        <v>13</v>
      </c>
      <c r="E195" s="1" t="s">
        <v>18</v>
      </c>
      <c r="F195" s="1">
        <v>100</v>
      </c>
      <c r="G195" s="1">
        <v>64</v>
      </c>
      <c r="H195" s="1">
        <v>16</v>
      </c>
      <c r="I195" s="1">
        <v>20</v>
      </c>
    </row>
    <row r="196" spans="1:9" x14ac:dyDescent="0.35">
      <c r="A196" s="1">
        <v>185</v>
      </c>
      <c r="B196" s="1" t="s">
        <v>196</v>
      </c>
      <c r="C196" s="1" t="s">
        <v>13</v>
      </c>
      <c r="D196" s="1">
        <v>14</v>
      </c>
      <c r="E196" s="1" t="s">
        <v>14</v>
      </c>
      <c r="F196" s="1">
        <v>75</v>
      </c>
      <c r="G196" s="1">
        <v>14</v>
      </c>
      <c r="H196" s="1">
        <v>54</v>
      </c>
      <c r="I196" s="1">
        <v>68</v>
      </c>
    </row>
    <row r="197" spans="1:9" x14ac:dyDescent="0.35">
      <c r="A197" s="1">
        <v>26</v>
      </c>
      <c r="B197" s="1" t="s">
        <v>39</v>
      </c>
      <c r="C197" s="1" t="s">
        <v>10</v>
      </c>
      <c r="D197" s="1">
        <v>15</v>
      </c>
      <c r="E197" s="1" t="s">
        <v>18</v>
      </c>
      <c r="F197" s="1">
        <v>16</v>
      </c>
      <c r="G197" s="1">
        <v>59</v>
      </c>
      <c r="H197" s="1">
        <v>18</v>
      </c>
      <c r="I197" s="1">
        <v>64</v>
      </c>
    </row>
    <row r="198" spans="1:9" x14ac:dyDescent="0.35">
      <c r="A198" s="1">
        <v>240</v>
      </c>
      <c r="B198" s="1" t="s">
        <v>250</v>
      </c>
      <c r="C198" s="1" t="s">
        <v>13</v>
      </c>
      <c r="D198" s="1">
        <v>15</v>
      </c>
      <c r="E198" s="1" t="s">
        <v>11</v>
      </c>
      <c r="F198" s="1">
        <v>2</v>
      </c>
      <c r="G198" s="1">
        <v>4</v>
      </c>
      <c r="H198" s="1">
        <v>48</v>
      </c>
      <c r="I198" s="1">
        <v>46</v>
      </c>
    </row>
    <row r="199" spans="1:9" x14ac:dyDescent="0.35">
      <c r="A199" s="1">
        <v>89</v>
      </c>
      <c r="B199" s="1" t="s">
        <v>102</v>
      </c>
      <c r="C199" s="1" t="s">
        <v>10</v>
      </c>
      <c r="D199" s="1">
        <v>15</v>
      </c>
      <c r="E199" s="1" t="s">
        <v>18</v>
      </c>
      <c r="F199" s="1">
        <v>58</v>
      </c>
      <c r="G199" s="1">
        <v>16</v>
      </c>
      <c r="H199" s="1">
        <v>64</v>
      </c>
      <c r="I199" s="1">
        <v>67</v>
      </c>
    </row>
    <row r="200" spans="1:9" x14ac:dyDescent="0.35">
      <c r="A200" s="1">
        <v>159</v>
      </c>
      <c r="B200" s="1" t="s">
        <v>171</v>
      </c>
      <c r="C200" s="1" t="s">
        <v>13</v>
      </c>
      <c r="D200" s="1">
        <v>14</v>
      </c>
      <c r="E200" s="1" t="s">
        <v>18</v>
      </c>
      <c r="F200" s="1">
        <v>73</v>
      </c>
      <c r="G200" s="1">
        <v>71</v>
      </c>
      <c r="H200" s="1">
        <v>87</v>
      </c>
      <c r="I200" s="1">
        <v>30</v>
      </c>
    </row>
    <row r="201" spans="1:9" x14ac:dyDescent="0.35">
      <c r="A201" s="1">
        <v>212</v>
      </c>
      <c r="B201" s="1" t="s">
        <v>222</v>
      </c>
      <c r="C201" s="1" t="s">
        <v>13</v>
      </c>
      <c r="D201" s="1">
        <v>15</v>
      </c>
      <c r="E201" s="1" t="s">
        <v>18</v>
      </c>
      <c r="F201" s="1">
        <v>85</v>
      </c>
      <c r="G201" s="1">
        <v>8</v>
      </c>
      <c r="H201" s="1">
        <v>88</v>
      </c>
      <c r="I201" s="1">
        <v>82</v>
      </c>
    </row>
    <row r="202" spans="1:9" x14ac:dyDescent="0.35">
      <c r="A202" s="1">
        <v>182</v>
      </c>
      <c r="B202" s="1" t="s">
        <v>193</v>
      </c>
      <c r="C202" s="1" t="s">
        <v>13</v>
      </c>
      <c r="D202" s="1">
        <v>13</v>
      </c>
      <c r="E202" s="1" t="s">
        <v>18</v>
      </c>
      <c r="F202" s="1">
        <v>62</v>
      </c>
      <c r="G202" s="1">
        <v>42</v>
      </c>
      <c r="H202" s="1">
        <v>87</v>
      </c>
      <c r="I202" s="1">
        <v>51</v>
      </c>
    </row>
    <row r="203" spans="1:9" x14ac:dyDescent="0.35">
      <c r="A203" s="1">
        <v>31</v>
      </c>
      <c r="B203" s="1" t="s">
        <v>44</v>
      </c>
      <c r="C203" s="1" t="s">
        <v>10</v>
      </c>
      <c r="D203" s="1">
        <v>15</v>
      </c>
      <c r="E203" s="1" t="s">
        <v>14</v>
      </c>
      <c r="F203" s="1">
        <v>14</v>
      </c>
      <c r="G203" s="1">
        <v>83</v>
      </c>
      <c r="H203" s="1">
        <v>9</v>
      </c>
      <c r="I203" s="1">
        <v>90</v>
      </c>
    </row>
    <row r="204" spans="1:9" x14ac:dyDescent="0.35">
      <c r="A204" s="1">
        <v>140</v>
      </c>
      <c r="B204" s="1" t="s">
        <v>153</v>
      </c>
      <c r="C204" s="1" t="s">
        <v>10</v>
      </c>
      <c r="D204" s="1">
        <v>13</v>
      </c>
      <c r="E204" s="1" t="s">
        <v>14</v>
      </c>
      <c r="F204" s="1">
        <v>21</v>
      </c>
      <c r="G204" s="1">
        <v>65</v>
      </c>
      <c r="H204" s="1">
        <v>90</v>
      </c>
      <c r="I204" s="1">
        <v>4</v>
      </c>
    </row>
    <row r="205" spans="1:9" x14ac:dyDescent="0.35">
      <c r="A205" s="1">
        <v>107</v>
      </c>
      <c r="B205" s="1" t="s">
        <v>120</v>
      </c>
      <c r="C205" s="1" t="s">
        <v>10</v>
      </c>
      <c r="D205" s="1">
        <v>14</v>
      </c>
      <c r="E205" s="1" t="s">
        <v>11</v>
      </c>
      <c r="F205" s="1">
        <v>57</v>
      </c>
      <c r="G205" s="1">
        <v>68</v>
      </c>
      <c r="H205" s="1">
        <v>13</v>
      </c>
      <c r="I205" s="1">
        <v>74</v>
      </c>
    </row>
    <row r="206" spans="1:9" x14ac:dyDescent="0.35">
      <c r="A206" s="1">
        <v>247</v>
      </c>
      <c r="B206" s="1" t="s">
        <v>257</v>
      </c>
      <c r="C206" s="1" t="s">
        <v>10</v>
      </c>
      <c r="D206" s="1">
        <v>13</v>
      </c>
      <c r="E206" s="1" t="s">
        <v>14</v>
      </c>
      <c r="F206" s="1">
        <v>1</v>
      </c>
      <c r="G206" s="1">
        <v>4</v>
      </c>
      <c r="H206" s="1">
        <v>68</v>
      </c>
      <c r="I206" s="1">
        <v>65</v>
      </c>
    </row>
    <row r="207" spans="1:9" x14ac:dyDescent="0.35">
      <c r="A207" s="1">
        <v>52</v>
      </c>
      <c r="B207" s="1" t="s">
        <v>65</v>
      </c>
      <c r="C207" s="1" t="s">
        <v>10</v>
      </c>
      <c r="D207" s="1">
        <v>13</v>
      </c>
      <c r="E207" s="1" t="s">
        <v>18</v>
      </c>
      <c r="F207" s="1">
        <v>17</v>
      </c>
      <c r="G207" s="1">
        <v>99</v>
      </c>
      <c r="H207" s="1">
        <v>29</v>
      </c>
      <c r="I207" s="1">
        <v>85</v>
      </c>
    </row>
    <row r="208" spans="1:9" x14ac:dyDescent="0.35">
      <c r="A208" s="1">
        <v>225</v>
      </c>
      <c r="B208" s="1" t="s">
        <v>235</v>
      </c>
      <c r="C208" s="1" t="s">
        <v>10</v>
      </c>
      <c r="D208" s="1">
        <v>13</v>
      </c>
      <c r="E208" s="1" t="s">
        <v>11</v>
      </c>
      <c r="F208" s="1">
        <v>84</v>
      </c>
      <c r="G208" s="1">
        <v>10</v>
      </c>
      <c r="H208" s="1">
        <v>82</v>
      </c>
      <c r="I208" s="1">
        <v>93</v>
      </c>
    </row>
    <row r="209" spans="1:9" x14ac:dyDescent="0.35">
      <c r="A209" s="1">
        <v>206</v>
      </c>
      <c r="B209" s="1" t="s">
        <v>216</v>
      </c>
      <c r="C209" s="1" t="s">
        <v>13</v>
      </c>
      <c r="D209" s="1">
        <v>15</v>
      </c>
      <c r="E209" s="1" t="s">
        <v>11</v>
      </c>
      <c r="F209" s="1">
        <v>54</v>
      </c>
      <c r="G209" s="1">
        <v>89</v>
      </c>
      <c r="H209" s="1">
        <v>59</v>
      </c>
      <c r="I209" s="1">
        <v>88</v>
      </c>
    </row>
    <row r="210" spans="1:9" x14ac:dyDescent="0.35">
      <c r="A210" s="1">
        <v>79</v>
      </c>
      <c r="B210" s="1" t="s">
        <v>92</v>
      </c>
      <c r="C210" s="1" t="s">
        <v>13</v>
      </c>
      <c r="D210" s="1">
        <v>13</v>
      </c>
      <c r="E210" s="1" t="s">
        <v>11</v>
      </c>
      <c r="F210" s="1">
        <v>27</v>
      </c>
      <c r="G210" s="1">
        <v>96</v>
      </c>
      <c r="H210" s="1">
        <v>89</v>
      </c>
      <c r="I210" s="1">
        <v>49</v>
      </c>
    </row>
    <row r="211" spans="1:9" x14ac:dyDescent="0.35">
      <c r="A211" s="1">
        <v>173</v>
      </c>
      <c r="B211" s="1" t="s">
        <v>184</v>
      </c>
      <c r="C211" s="1" t="s">
        <v>13</v>
      </c>
      <c r="D211" s="1">
        <v>15</v>
      </c>
      <c r="E211" s="1" t="s">
        <v>11</v>
      </c>
      <c r="F211" s="1">
        <v>55</v>
      </c>
      <c r="G211" s="1">
        <v>62</v>
      </c>
      <c r="H211" s="1">
        <v>57</v>
      </c>
      <c r="I211" s="1">
        <v>56</v>
      </c>
    </row>
    <row r="212" spans="1:9" x14ac:dyDescent="0.35">
      <c r="A212" s="1">
        <v>53</v>
      </c>
      <c r="B212" s="1" t="s">
        <v>66</v>
      </c>
      <c r="C212" s="1" t="s">
        <v>10</v>
      </c>
      <c r="D212" s="1">
        <v>15</v>
      </c>
      <c r="E212" s="1" t="s">
        <v>14</v>
      </c>
      <c r="F212" s="1">
        <v>15</v>
      </c>
      <c r="G212" s="1">
        <v>84</v>
      </c>
      <c r="H212" s="1">
        <v>40</v>
      </c>
      <c r="I212" s="1">
        <v>40</v>
      </c>
    </row>
    <row r="213" spans="1:9" x14ac:dyDescent="0.35">
      <c r="A213" s="1">
        <v>201</v>
      </c>
      <c r="B213" s="1" t="s">
        <v>211</v>
      </c>
      <c r="C213" s="1" t="s">
        <v>10</v>
      </c>
      <c r="D213" s="1">
        <v>15</v>
      </c>
      <c r="E213" s="1" t="s">
        <v>14</v>
      </c>
      <c r="F213" s="1">
        <v>84</v>
      </c>
      <c r="G213" s="1">
        <v>97</v>
      </c>
      <c r="H213" s="1">
        <v>88</v>
      </c>
      <c r="I213" s="1">
        <v>64</v>
      </c>
    </row>
    <row r="214" spans="1:9" x14ac:dyDescent="0.35">
      <c r="A214" s="1">
        <v>188</v>
      </c>
      <c r="B214" s="1" t="s">
        <v>199</v>
      </c>
      <c r="C214" s="1" t="s">
        <v>10</v>
      </c>
      <c r="D214" s="1">
        <v>14</v>
      </c>
      <c r="E214" s="1" t="s">
        <v>14</v>
      </c>
      <c r="F214" s="1">
        <v>60</v>
      </c>
      <c r="G214" s="1">
        <v>55</v>
      </c>
      <c r="H214" s="1">
        <v>30</v>
      </c>
      <c r="I214" s="1">
        <v>83</v>
      </c>
    </row>
    <row r="215" spans="1:9" x14ac:dyDescent="0.35">
      <c r="A215" s="1">
        <v>156</v>
      </c>
      <c r="B215" s="1" t="s">
        <v>168</v>
      </c>
      <c r="C215" s="1" t="s">
        <v>10</v>
      </c>
      <c r="D215" s="1">
        <v>13</v>
      </c>
      <c r="E215" s="1" t="s">
        <v>14</v>
      </c>
      <c r="F215" s="1">
        <v>55</v>
      </c>
      <c r="G215" s="1">
        <v>99</v>
      </c>
      <c r="H215" s="1">
        <v>8</v>
      </c>
      <c r="I215" s="1">
        <v>72</v>
      </c>
    </row>
    <row r="216" spans="1:9" x14ac:dyDescent="0.35">
      <c r="A216" s="1">
        <v>75</v>
      </c>
      <c r="B216" s="1" t="s">
        <v>88</v>
      </c>
      <c r="C216" s="1" t="s">
        <v>10</v>
      </c>
      <c r="D216" s="1">
        <v>13</v>
      </c>
      <c r="E216" s="1" t="s">
        <v>14</v>
      </c>
      <c r="F216" s="1">
        <v>85</v>
      </c>
      <c r="G216" s="1">
        <v>10</v>
      </c>
      <c r="H216" s="1">
        <v>62</v>
      </c>
      <c r="I216" s="1">
        <v>62</v>
      </c>
    </row>
    <row r="217" spans="1:9" x14ac:dyDescent="0.35">
      <c r="A217" s="1">
        <v>183</v>
      </c>
      <c r="B217" s="1" t="s">
        <v>194</v>
      </c>
      <c r="C217" s="1" t="s">
        <v>10</v>
      </c>
      <c r="D217" s="1">
        <v>15</v>
      </c>
      <c r="E217" s="1" t="s">
        <v>18</v>
      </c>
      <c r="F217" s="1">
        <v>60</v>
      </c>
      <c r="G217" s="1">
        <v>42</v>
      </c>
      <c r="H217" s="1">
        <v>49</v>
      </c>
      <c r="I217" s="1">
        <v>25</v>
      </c>
    </row>
    <row r="218" spans="1:9" x14ac:dyDescent="0.35">
      <c r="A218" s="1">
        <v>175</v>
      </c>
      <c r="B218" s="1" t="s">
        <v>186</v>
      </c>
      <c r="C218" s="1" t="s">
        <v>10</v>
      </c>
      <c r="D218" s="1">
        <v>14</v>
      </c>
      <c r="E218" s="1" t="s">
        <v>14</v>
      </c>
      <c r="F218" s="1">
        <v>63</v>
      </c>
      <c r="G218" s="1">
        <v>9</v>
      </c>
      <c r="H218" s="1">
        <v>91</v>
      </c>
      <c r="I218" s="1">
        <v>88</v>
      </c>
    </row>
    <row r="219" spans="1:9" x14ac:dyDescent="0.35">
      <c r="A219" s="1">
        <v>116</v>
      </c>
      <c r="B219" s="1" t="s">
        <v>129</v>
      </c>
      <c r="C219" s="1" t="s">
        <v>13</v>
      </c>
      <c r="D219" s="1">
        <v>14</v>
      </c>
      <c r="E219" s="1" t="s">
        <v>18</v>
      </c>
      <c r="F219" s="1">
        <v>80</v>
      </c>
      <c r="G219" s="1">
        <v>92</v>
      </c>
      <c r="H219" s="1">
        <v>53</v>
      </c>
      <c r="I219" s="1">
        <v>30</v>
      </c>
    </row>
    <row r="220" spans="1:9" x14ac:dyDescent="0.35">
      <c r="A220" s="1">
        <v>64</v>
      </c>
      <c r="B220" s="1" t="s">
        <v>77</v>
      </c>
      <c r="C220" s="1" t="s">
        <v>13</v>
      </c>
      <c r="D220" s="1">
        <v>15</v>
      </c>
      <c r="E220" s="1" t="s">
        <v>14</v>
      </c>
      <c r="F220" s="1">
        <v>78</v>
      </c>
      <c r="G220" s="1">
        <v>74</v>
      </c>
      <c r="H220" s="1">
        <v>31</v>
      </c>
      <c r="I220" s="1">
        <v>85</v>
      </c>
    </row>
    <row r="221" spans="1:9" x14ac:dyDescent="0.35">
      <c r="A221" s="1">
        <v>88</v>
      </c>
      <c r="B221" s="1" t="s">
        <v>101</v>
      </c>
      <c r="C221" s="1" t="s">
        <v>10</v>
      </c>
      <c r="D221" s="1">
        <v>15</v>
      </c>
      <c r="E221" s="1" t="s">
        <v>11</v>
      </c>
      <c r="F221" s="1">
        <v>44</v>
      </c>
      <c r="G221" s="1">
        <v>55</v>
      </c>
      <c r="H221" s="1">
        <v>51</v>
      </c>
      <c r="I221" s="1">
        <v>100</v>
      </c>
    </row>
    <row r="222" spans="1:9" x14ac:dyDescent="0.35">
      <c r="A222" s="1">
        <v>98</v>
      </c>
      <c r="B222" s="1" t="s">
        <v>111</v>
      </c>
      <c r="C222" s="1" t="s">
        <v>13</v>
      </c>
      <c r="D222" s="1">
        <v>14</v>
      </c>
      <c r="E222" s="1" t="s">
        <v>18</v>
      </c>
      <c r="F222" s="1">
        <v>40</v>
      </c>
      <c r="G222" s="1">
        <v>61</v>
      </c>
      <c r="H222" s="1">
        <v>63</v>
      </c>
      <c r="I222" s="1">
        <v>80</v>
      </c>
    </row>
    <row r="223" spans="1:9" x14ac:dyDescent="0.35">
      <c r="A223" s="1">
        <v>51</v>
      </c>
      <c r="B223" s="1" t="s">
        <v>64</v>
      </c>
      <c r="C223" s="1" t="s">
        <v>13</v>
      </c>
      <c r="D223" s="1">
        <v>14</v>
      </c>
      <c r="E223" s="1" t="s">
        <v>11</v>
      </c>
      <c r="F223" s="1">
        <v>31</v>
      </c>
      <c r="G223" s="1">
        <v>37</v>
      </c>
      <c r="H223" s="1">
        <v>77</v>
      </c>
      <c r="I223" s="1">
        <v>79</v>
      </c>
    </row>
    <row r="224" spans="1:9" x14ac:dyDescent="0.35">
      <c r="A224" s="1">
        <v>128</v>
      </c>
      <c r="B224" s="1" t="s">
        <v>141</v>
      </c>
      <c r="C224" s="1" t="s">
        <v>10</v>
      </c>
      <c r="D224" s="1">
        <v>14</v>
      </c>
      <c r="E224" s="1" t="s">
        <v>11</v>
      </c>
      <c r="F224" s="1">
        <v>3</v>
      </c>
      <c r="G224" s="1">
        <v>31</v>
      </c>
      <c r="H224" s="1">
        <v>34</v>
      </c>
      <c r="I224" s="1">
        <v>45</v>
      </c>
    </row>
    <row r="225" spans="1:9" x14ac:dyDescent="0.35">
      <c r="A225" s="1">
        <v>231</v>
      </c>
      <c r="B225" s="1" t="s">
        <v>241</v>
      </c>
      <c r="C225" s="1" t="s">
        <v>13</v>
      </c>
      <c r="D225" s="1">
        <v>15</v>
      </c>
      <c r="E225" s="1" t="s">
        <v>14</v>
      </c>
      <c r="F225" s="1">
        <v>50</v>
      </c>
      <c r="G225" s="1">
        <v>70</v>
      </c>
      <c r="H225" s="1">
        <v>31</v>
      </c>
      <c r="I225" s="1">
        <v>98</v>
      </c>
    </row>
    <row r="226" spans="1:9" x14ac:dyDescent="0.35">
      <c r="A226" s="1">
        <v>153</v>
      </c>
      <c r="B226" s="1" t="s">
        <v>165</v>
      </c>
      <c r="C226" s="1" t="s">
        <v>13</v>
      </c>
      <c r="D226" s="1">
        <v>13</v>
      </c>
      <c r="E226" s="1" t="s">
        <v>18</v>
      </c>
      <c r="F226" s="1">
        <v>23</v>
      </c>
      <c r="G226" s="1">
        <v>41</v>
      </c>
      <c r="H226" s="1">
        <v>49</v>
      </c>
      <c r="I226" s="1">
        <v>79</v>
      </c>
    </row>
    <row r="227" spans="1:9" x14ac:dyDescent="0.35">
      <c r="A227" s="1">
        <v>129</v>
      </c>
      <c r="B227" s="1" t="s">
        <v>142</v>
      </c>
      <c r="C227" s="1" t="s">
        <v>10</v>
      </c>
      <c r="D227" s="1">
        <v>15</v>
      </c>
      <c r="E227" s="1" t="s">
        <v>14</v>
      </c>
      <c r="F227" s="1">
        <v>28</v>
      </c>
      <c r="G227" s="1">
        <v>94</v>
      </c>
      <c r="H227" s="1">
        <v>61</v>
      </c>
      <c r="I227" s="1">
        <v>72</v>
      </c>
    </row>
    <row r="228" spans="1:9" x14ac:dyDescent="0.35">
      <c r="A228" s="1">
        <v>224</v>
      </c>
      <c r="B228" s="1" t="s">
        <v>234</v>
      </c>
      <c r="C228" s="1" t="s">
        <v>10</v>
      </c>
      <c r="D228" s="1">
        <v>13</v>
      </c>
      <c r="E228" s="1" t="s">
        <v>18</v>
      </c>
      <c r="F228" s="1">
        <v>100</v>
      </c>
      <c r="G228" s="1">
        <v>95</v>
      </c>
      <c r="H228" s="1">
        <v>36</v>
      </c>
      <c r="I228" s="1">
        <v>10</v>
      </c>
    </row>
    <row r="229" spans="1:9" x14ac:dyDescent="0.35">
      <c r="A229" s="1">
        <v>54</v>
      </c>
      <c r="B229" s="1" t="s">
        <v>67</v>
      </c>
      <c r="C229" s="1" t="s">
        <v>13</v>
      </c>
      <c r="D229" s="1">
        <v>15</v>
      </c>
      <c r="E229" s="1" t="s">
        <v>11</v>
      </c>
      <c r="F229" s="1">
        <v>23</v>
      </c>
      <c r="G229" s="1">
        <v>44</v>
      </c>
      <c r="H229" s="1">
        <v>76</v>
      </c>
      <c r="I229" s="1">
        <v>46</v>
      </c>
    </row>
    <row r="230" spans="1:9" x14ac:dyDescent="0.35">
      <c r="A230" s="1">
        <v>220</v>
      </c>
      <c r="B230" s="1" t="s">
        <v>230</v>
      </c>
      <c r="C230" s="1" t="s">
        <v>13</v>
      </c>
      <c r="D230" s="1">
        <v>13</v>
      </c>
      <c r="E230" s="1" t="s">
        <v>14</v>
      </c>
      <c r="F230" s="1">
        <v>81</v>
      </c>
      <c r="G230" s="1">
        <v>63</v>
      </c>
      <c r="H230" s="1">
        <v>16</v>
      </c>
      <c r="I230" s="1">
        <v>62</v>
      </c>
    </row>
    <row r="231" spans="1:9" x14ac:dyDescent="0.35">
      <c r="A231" s="1">
        <v>33</v>
      </c>
      <c r="B231" s="1" t="s">
        <v>46</v>
      </c>
      <c r="C231" s="1" t="s">
        <v>10</v>
      </c>
      <c r="D231" s="1">
        <v>14</v>
      </c>
      <c r="E231" s="1" t="s">
        <v>11</v>
      </c>
      <c r="F231" s="1">
        <v>17</v>
      </c>
      <c r="G231" s="1">
        <v>74</v>
      </c>
      <c r="H231" s="1">
        <v>11</v>
      </c>
      <c r="I231" s="1">
        <v>49</v>
      </c>
    </row>
    <row r="232" spans="1:9" x14ac:dyDescent="0.35">
      <c r="A232" s="1">
        <v>10</v>
      </c>
      <c r="B232" s="1" t="s">
        <v>23</v>
      </c>
      <c r="C232" s="1" t="s">
        <v>13</v>
      </c>
      <c r="D232" s="1">
        <v>15</v>
      </c>
      <c r="E232" s="1" t="s">
        <v>11</v>
      </c>
      <c r="F232" s="1">
        <v>35</v>
      </c>
      <c r="G232" s="1">
        <v>25</v>
      </c>
      <c r="H232" s="1">
        <v>37</v>
      </c>
      <c r="I232" s="1">
        <v>27</v>
      </c>
    </row>
    <row r="233" spans="1:9" x14ac:dyDescent="0.35">
      <c r="A233" s="1">
        <v>46</v>
      </c>
      <c r="B233" s="1" t="s">
        <v>59</v>
      </c>
      <c r="C233" s="1" t="s">
        <v>13</v>
      </c>
      <c r="D233" s="1">
        <v>14</v>
      </c>
      <c r="E233" s="1" t="s">
        <v>18</v>
      </c>
      <c r="F233" s="1">
        <v>50</v>
      </c>
      <c r="G233" s="1">
        <v>22</v>
      </c>
      <c r="H233" s="1">
        <v>50</v>
      </c>
      <c r="I233" s="1">
        <v>78</v>
      </c>
    </row>
    <row r="234" spans="1:9" x14ac:dyDescent="0.35">
      <c r="A234" s="1">
        <v>81</v>
      </c>
      <c r="B234" s="1" t="s">
        <v>94</v>
      </c>
      <c r="C234" s="1" t="s">
        <v>13</v>
      </c>
      <c r="D234" s="1">
        <v>15</v>
      </c>
      <c r="E234" s="1" t="s">
        <v>18</v>
      </c>
      <c r="F234" s="1">
        <v>1</v>
      </c>
      <c r="G234" s="1">
        <v>90</v>
      </c>
      <c r="H234" s="1">
        <v>42</v>
      </c>
      <c r="I234" s="1">
        <v>94</v>
      </c>
    </row>
    <row r="235" spans="1:9" x14ac:dyDescent="0.35">
      <c r="A235" s="1">
        <v>35</v>
      </c>
      <c r="B235" s="1" t="s">
        <v>48</v>
      </c>
      <c r="C235" s="1" t="s">
        <v>10</v>
      </c>
      <c r="D235" s="1">
        <v>13</v>
      </c>
      <c r="E235" s="1" t="s">
        <v>14</v>
      </c>
      <c r="F235" s="1">
        <v>5</v>
      </c>
      <c r="G235" s="1">
        <v>75</v>
      </c>
      <c r="H235" s="1">
        <v>13</v>
      </c>
      <c r="I235" s="1">
        <v>61</v>
      </c>
    </row>
    <row r="236" spans="1:9" x14ac:dyDescent="0.35">
      <c r="A236" s="1">
        <v>214</v>
      </c>
      <c r="B236" s="1" t="s">
        <v>224</v>
      </c>
      <c r="C236" s="1" t="s">
        <v>10</v>
      </c>
      <c r="D236" s="1">
        <v>15</v>
      </c>
      <c r="E236" s="1" t="s">
        <v>18</v>
      </c>
      <c r="F236" s="1">
        <v>87</v>
      </c>
      <c r="G236" s="1">
        <v>17</v>
      </c>
      <c r="H236" s="1">
        <v>94</v>
      </c>
      <c r="I236" s="1">
        <v>41</v>
      </c>
    </row>
    <row r="237" spans="1:9" x14ac:dyDescent="0.35">
      <c r="A237" s="1">
        <v>132</v>
      </c>
      <c r="B237" s="1" t="s">
        <v>145</v>
      </c>
      <c r="C237" s="1" t="s">
        <v>13</v>
      </c>
      <c r="D237" s="1">
        <v>13</v>
      </c>
      <c r="E237" s="1" t="s">
        <v>11</v>
      </c>
      <c r="F237" s="1">
        <v>13</v>
      </c>
      <c r="G237" s="1">
        <v>73</v>
      </c>
      <c r="H237" s="1">
        <v>76</v>
      </c>
      <c r="I237" s="1">
        <v>95</v>
      </c>
    </row>
    <row r="238" spans="1:9" x14ac:dyDescent="0.35">
      <c r="A238" s="1">
        <v>179</v>
      </c>
      <c r="B238" s="1" t="s">
        <v>190</v>
      </c>
      <c r="C238" s="1" t="s">
        <v>13</v>
      </c>
      <c r="D238" s="1">
        <v>13</v>
      </c>
      <c r="E238" s="1" t="s">
        <v>14</v>
      </c>
      <c r="F238" s="1">
        <v>95</v>
      </c>
      <c r="G238" s="1">
        <v>73</v>
      </c>
      <c r="H238" s="1">
        <v>91</v>
      </c>
      <c r="I238" s="1">
        <v>61</v>
      </c>
    </row>
    <row r="239" spans="1:9" x14ac:dyDescent="0.35">
      <c r="A239" s="1">
        <v>12</v>
      </c>
      <c r="B239" s="1" t="s">
        <v>25</v>
      </c>
      <c r="C239" s="1" t="s">
        <v>13</v>
      </c>
      <c r="D239" s="1">
        <v>13</v>
      </c>
      <c r="E239" s="1" t="s">
        <v>14</v>
      </c>
      <c r="F239" s="1">
        <v>19</v>
      </c>
      <c r="G239" s="1">
        <v>5</v>
      </c>
      <c r="H239" s="1">
        <v>78</v>
      </c>
      <c r="I239" s="1">
        <v>76</v>
      </c>
    </row>
    <row r="240" spans="1:9" x14ac:dyDescent="0.35">
      <c r="A240" s="1">
        <v>24</v>
      </c>
      <c r="B240" s="1" t="s">
        <v>37</v>
      </c>
      <c r="C240" s="1" t="s">
        <v>10</v>
      </c>
      <c r="D240" s="1">
        <v>14</v>
      </c>
      <c r="E240" s="1" t="s">
        <v>11</v>
      </c>
      <c r="F240" s="1">
        <v>48</v>
      </c>
      <c r="G240" s="1">
        <v>83</v>
      </c>
      <c r="H240" s="1">
        <v>79</v>
      </c>
      <c r="I240" s="1">
        <v>95</v>
      </c>
    </row>
    <row r="241" spans="1:9" x14ac:dyDescent="0.35">
      <c r="A241" s="1">
        <v>109</v>
      </c>
      <c r="B241" s="1" t="s">
        <v>122</v>
      </c>
      <c r="C241" s="1" t="s">
        <v>13</v>
      </c>
      <c r="D241" s="1">
        <v>14</v>
      </c>
      <c r="E241" s="1" t="s">
        <v>11</v>
      </c>
      <c r="F241" s="1">
        <v>11</v>
      </c>
      <c r="G241" s="1">
        <v>30</v>
      </c>
      <c r="H241" s="1">
        <v>83</v>
      </c>
      <c r="I241" s="1">
        <v>17</v>
      </c>
    </row>
    <row r="242" spans="1:9" x14ac:dyDescent="0.35">
      <c r="A242" s="1">
        <v>49</v>
      </c>
      <c r="B242" s="1" t="s">
        <v>62</v>
      </c>
      <c r="C242" s="1" t="s">
        <v>13</v>
      </c>
      <c r="D242" s="1">
        <v>13</v>
      </c>
      <c r="E242" s="1" t="s">
        <v>14</v>
      </c>
      <c r="F242" s="1">
        <v>81</v>
      </c>
      <c r="G242" s="1">
        <v>25</v>
      </c>
      <c r="H242" s="1">
        <v>99</v>
      </c>
      <c r="I242" s="1">
        <v>13</v>
      </c>
    </row>
    <row r="243" spans="1:9" x14ac:dyDescent="0.35">
      <c r="A243" s="1">
        <v>108</v>
      </c>
      <c r="B243" s="1" t="s">
        <v>121</v>
      </c>
      <c r="C243" s="1" t="s">
        <v>10</v>
      </c>
      <c r="D243" s="1">
        <v>14</v>
      </c>
      <c r="E243" s="1" t="s">
        <v>14</v>
      </c>
      <c r="F243" s="1">
        <v>56</v>
      </c>
      <c r="G243" s="1">
        <v>75</v>
      </c>
      <c r="H243" s="1">
        <v>5</v>
      </c>
      <c r="I243" s="1">
        <v>40</v>
      </c>
    </row>
    <row r="244" spans="1:9" x14ac:dyDescent="0.35">
      <c r="A244" s="1">
        <v>211</v>
      </c>
      <c r="B244" s="1" t="s">
        <v>221</v>
      </c>
      <c r="C244" s="1" t="s">
        <v>13</v>
      </c>
      <c r="D244" s="1">
        <v>14</v>
      </c>
      <c r="E244" s="1" t="s">
        <v>18</v>
      </c>
      <c r="F244" s="1">
        <v>28</v>
      </c>
      <c r="G244" s="1">
        <v>30</v>
      </c>
      <c r="H244" s="1">
        <v>80</v>
      </c>
      <c r="I244" s="1">
        <v>33</v>
      </c>
    </row>
    <row r="245" spans="1:9" x14ac:dyDescent="0.35">
      <c r="A245" s="1">
        <v>205</v>
      </c>
      <c r="B245" s="1" t="s">
        <v>215</v>
      </c>
      <c r="C245" s="1" t="s">
        <v>10</v>
      </c>
      <c r="D245" s="1">
        <v>13</v>
      </c>
      <c r="E245" s="1" t="s">
        <v>11</v>
      </c>
      <c r="F245" s="1">
        <v>7</v>
      </c>
      <c r="G245" s="1">
        <v>47</v>
      </c>
      <c r="H245" s="1">
        <v>39</v>
      </c>
      <c r="I245" s="1">
        <v>16</v>
      </c>
    </row>
    <row r="246" spans="1:9" x14ac:dyDescent="0.35">
      <c r="A246" s="1">
        <v>60</v>
      </c>
      <c r="B246" s="1" t="s">
        <v>73</v>
      </c>
      <c r="C246" s="1" t="s">
        <v>10</v>
      </c>
      <c r="D246" s="1">
        <v>14</v>
      </c>
      <c r="E246" s="1" t="s">
        <v>14</v>
      </c>
      <c r="F246" s="1">
        <v>61</v>
      </c>
      <c r="G246" s="1">
        <v>71</v>
      </c>
      <c r="H246" s="1">
        <v>77</v>
      </c>
      <c r="I246" s="1">
        <v>64</v>
      </c>
    </row>
    <row r="247" spans="1:9" x14ac:dyDescent="0.35">
      <c r="A247" s="1">
        <v>104</v>
      </c>
      <c r="B247" s="1" t="s">
        <v>117</v>
      </c>
      <c r="C247" s="1" t="s">
        <v>13</v>
      </c>
      <c r="D247" s="1">
        <v>15</v>
      </c>
      <c r="E247" s="1" t="s">
        <v>18</v>
      </c>
      <c r="F247" s="1">
        <v>37</v>
      </c>
      <c r="G247" s="1">
        <v>57</v>
      </c>
      <c r="H247" s="1">
        <v>48</v>
      </c>
      <c r="I247" s="1">
        <v>75</v>
      </c>
    </row>
    <row r="248" spans="1:9" x14ac:dyDescent="0.35">
      <c r="A248" s="1">
        <v>59</v>
      </c>
      <c r="B248" s="1" t="s">
        <v>72</v>
      </c>
      <c r="C248" s="1" t="s">
        <v>10</v>
      </c>
      <c r="D248" s="1">
        <v>14</v>
      </c>
      <c r="E248" s="1" t="s">
        <v>11</v>
      </c>
      <c r="F248" s="1">
        <v>41</v>
      </c>
      <c r="G248" s="1">
        <v>37</v>
      </c>
      <c r="H248" s="1">
        <v>26</v>
      </c>
      <c r="I248" s="1">
        <v>65</v>
      </c>
    </row>
    <row r="249" spans="1:9" x14ac:dyDescent="0.35">
      <c r="A249" s="1">
        <v>218</v>
      </c>
      <c r="B249" s="1" t="s">
        <v>228</v>
      </c>
      <c r="C249" s="1" t="s">
        <v>13</v>
      </c>
      <c r="D249" s="1">
        <v>13</v>
      </c>
      <c r="E249" s="1" t="s">
        <v>14</v>
      </c>
      <c r="F249" s="1">
        <v>72</v>
      </c>
      <c r="G249" s="1">
        <v>46</v>
      </c>
      <c r="H249" s="1">
        <v>40</v>
      </c>
      <c r="I249" s="1">
        <v>90</v>
      </c>
    </row>
    <row r="250" spans="1:9" x14ac:dyDescent="0.35">
      <c r="A250" s="1">
        <v>34</v>
      </c>
      <c r="B250" s="1" t="s">
        <v>47</v>
      </c>
      <c r="C250" s="1" t="s">
        <v>10</v>
      </c>
      <c r="D250" s="1">
        <v>15</v>
      </c>
      <c r="E250" s="1" t="s">
        <v>14</v>
      </c>
      <c r="F250" s="1">
        <v>54</v>
      </c>
      <c r="G250" s="1">
        <v>18</v>
      </c>
      <c r="H250" s="1">
        <v>46</v>
      </c>
      <c r="I250" s="1">
        <v>17</v>
      </c>
    </row>
    <row r="251" spans="1:9" x14ac:dyDescent="0.35">
      <c r="A251" s="1">
        <v>209</v>
      </c>
      <c r="B251" s="1" t="s">
        <v>219</v>
      </c>
      <c r="C251" s="1" t="s">
        <v>10</v>
      </c>
      <c r="D251" s="1">
        <v>14</v>
      </c>
      <c r="E251" s="1" t="s">
        <v>11</v>
      </c>
      <c r="F251" s="1">
        <v>59</v>
      </c>
      <c r="G251" s="1">
        <v>94</v>
      </c>
      <c r="H251" s="1">
        <v>94</v>
      </c>
      <c r="I251" s="1">
        <v>47</v>
      </c>
    </row>
  </sheetData>
  <sortState xmlns:xlrd2="http://schemas.microsoft.com/office/spreadsheetml/2017/richdata2" ref="A2:I251">
    <sortCondition ref="B2:B251"/>
  </sortState>
  <mergeCells count="1">
    <mergeCell ref="L4:N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FBE8-FAAB-4382-A38E-1B28A2834BE1}">
  <dimension ref="A2:K7"/>
  <sheetViews>
    <sheetView tabSelected="1" workbookViewId="0">
      <selection activeCell="N7" sqref="N7"/>
    </sheetView>
  </sheetViews>
  <sheetFormatPr defaultRowHeight="14.5" x14ac:dyDescent="0.35"/>
  <cols>
    <col min="1" max="1" width="12.36328125" bestFit="1" customWidth="1"/>
    <col min="2" max="2" width="13.90625" bestFit="1" customWidth="1"/>
    <col min="6" max="6" width="12.36328125" bestFit="1" customWidth="1"/>
    <col min="7" max="7" width="10.1796875" bestFit="1" customWidth="1"/>
    <col min="10" max="10" width="12.36328125" bestFit="1" customWidth="1"/>
    <col min="11" max="11" width="13.90625" bestFit="1" customWidth="1"/>
    <col min="14" max="14" width="12.36328125" bestFit="1" customWidth="1"/>
    <col min="15" max="15" width="16.54296875" bestFit="1" customWidth="1"/>
  </cols>
  <sheetData>
    <row r="2" spans="1:11" x14ac:dyDescent="0.35">
      <c r="J2" s="13" t="s">
        <v>283</v>
      </c>
      <c r="K2" t="s">
        <v>285</v>
      </c>
    </row>
    <row r="3" spans="1:11" x14ac:dyDescent="0.35">
      <c r="A3" s="13" t="s">
        <v>283</v>
      </c>
      <c r="B3" t="s">
        <v>285</v>
      </c>
      <c r="F3" s="13" t="s">
        <v>283</v>
      </c>
      <c r="G3" t="s">
        <v>286</v>
      </c>
      <c r="J3" s="14" t="s">
        <v>10</v>
      </c>
      <c r="K3" s="27">
        <v>5977.25</v>
      </c>
    </row>
    <row r="4" spans="1:11" x14ac:dyDescent="0.35">
      <c r="A4" s="14" t="s">
        <v>18</v>
      </c>
      <c r="B4">
        <v>4113</v>
      </c>
      <c r="F4" s="14" t="s">
        <v>10</v>
      </c>
      <c r="G4" s="27">
        <v>1655</v>
      </c>
      <c r="J4" s="14" t="s">
        <v>13</v>
      </c>
      <c r="K4" s="27">
        <v>6817</v>
      </c>
    </row>
    <row r="5" spans="1:11" x14ac:dyDescent="0.35">
      <c r="A5" s="14" t="s">
        <v>14</v>
      </c>
      <c r="B5">
        <v>4146.75</v>
      </c>
      <c r="F5" s="14" t="s">
        <v>13</v>
      </c>
      <c r="G5" s="27">
        <v>1850</v>
      </c>
      <c r="J5" s="14" t="s">
        <v>284</v>
      </c>
      <c r="K5" s="27">
        <v>12794.25</v>
      </c>
    </row>
    <row r="6" spans="1:11" x14ac:dyDescent="0.35">
      <c r="A6" s="14" t="s">
        <v>11</v>
      </c>
      <c r="B6">
        <v>4534.5</v>
      </c>
      <c r="F6" s="14" t="s">
        <v>284</v>
      </c>
      <c r="G6" s="27">
        <v>3505</v>
      </c>
    </row>
    <row r="7" spans="1:11" x14ac:dyDescent="0.35">
      <c r="A7" s="14" t="s">
        <v>284</v>
      </c>
      <c r="B7">
        <v>12794.25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Marksheet Data</vt:lpstr>
      <vt:lpstr>Logical Function</vt:lpstr>
      <vt:lpstr>LookUp</vt:lpstr>
      <vt:lpstr>Sorting</vt:lpstr>
      <vt:lpstr>Pivot Table and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Anjali Prasad</cp:lastModifiedBy>
  <dcterms:created xsi:type="dcterms:W3CDTF">2026-01-31T05:10:50Z</dcterms:created>
  <dcterms:modified xsi:type="dcterms:W3CDTF">2026-02-07T17:14:10Z</dcterms:modified>
</cp:coreProperties>
</file>